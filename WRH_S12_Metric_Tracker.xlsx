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12 Session Log" sheetId="1" state="visible" r:id="rId3"/>
    <sheet name="Dashboard" sheetId="2" state="visible" r:id="rId4"/>
    <sheet name="Pilot Master Template" sheetId="3" state="visible" r:id="rId5"/>
    <sheet name="CSV Export Field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<sst xmlns="http://schemas.openxmlformats.org/spreadsheetml/2006/main" count="195" uniqueCount="159">
  <si>
    <t xml:space="preserve">WRH MASTER CURRICULUM — SESSION 12 METRIC TRACKER</t>
  </si>
  <si>
    <t xml:space="preserve">Internal Behavioral Conflict Systems  |  S-Prefix Safety Metric Log  |  Capitol Contracts LLC  |  UEI: HH77KN5AV5X7</t>
  </si>
  <si>
    <t xml:space="preserve">Incident ID</t>
  </si>
  <si>
    <t xml:space="preserve">Date</t>
  </si>
  <si>
    <t xml:space="preserve">Cohort ID</t>
  </si>
  <si>
    <t xml:space="preserve">Session #</t>
  </si>
  <si>
    <t xml:space="preserve">Delivery Tier
(1/2/3)</t>
  </si>
  <si>
    <t xml:space="preserve">Facilitator
Tier</t>
  </si>
  <si>
    <t xml:space="preserve">S-ACT
(1–5)</t>
  </si>
  <si>
    <t xml:space="preserve">S-REG
(S/P/F)</t>
  </si>
  <si>
    <t xml:space="preserve">S-INT
(V/R/SPI)</t>
  </si>
  <si>
    <t xml:space="preserve">S-OUT
(Stab/HO/Exit)</t>
  </si>
  <si>
    <t xml:space="preserve">SPI Handoff?
(Y/N)</t>
  </si>
  <si>
    <t xml:space="preserve">Clinical Staff
Notified (Y/N)</t>
  </si>
  <si>
    <t xml:space="preserve">Incident
Report Filed</t>
  </si>
  <si>
    <t xml:space="preserve">7-Day
Follow-Up</t>
  </si>
  <si>
    <t xml:space="preserve">Notes
(De-identified)</t>
  </si>
  <si>
    <t xml:space="preserve">Auto-Flag</t>
  </si>
  <si>
    <t xml:space="preserve">SESSION 12 SAFETY DASHBOARD — AUTO-CALCULATED</t>
  </si>
  <si>
    <t xml:space="preserve">All metrics pull live from 'S12 Session Log' sheet</t>
  </si>
  <si>
    <t xml:space="preserve">Total Sessions Logged</t>
  </si>
  <si>
    <t xml:space="preserve">Total Incidents</t>
  </si>
  <si>
    <t xml:space="preserve">High Activation Events</t>
  </si>
  <si>
    <t xml:space="preserve">SPI Handoffs</t>
  </si>
  <si>
    <t xml:space="preserve">RGP Failures</t>
  </si>
  <si>
    <t xml:space="preserve">from Session Log</t>
  </si>
  <si>
    <t xml:space="preserve">rows with date</t>
  </si>
  <si>
    <t xml:space="preserve">S-ACT ≥ 4</t>
  </si>
  <si>
    <t xml:space="preserve">S-INT = SPI</t>
  </si>
  <si>
    <t xml:space="preserve">S-REG = F</t>
  </si>
  <si>
    <t xml:space="preserve">Avg S-ACT Level</t>
  </si>
  <si>
    <t xml:space="preserve">RGP Success Rate</t>
  </si>
  <si>
    <t xml:space="preserve">Clinical Notify Rate</t>
  </si>
  <si>
    <t xml:space="preserve">Follow-Up Completion</t>
  </si>
  <si>
    <t xml:space="preserve">Reports Filed Rate</t>
  </si>
  <si>
    <t xml:space="preserve">0 = no data</t>
  </si>
  <si>
    <t xml:space="preserve">% = S / total</t>
  </si>
  <si>
    <t xml:space="preserve">% notified</t>
  </si>
  <si>
    <t xml:space="preserve">7-day rate</t>
  </si>
  <si>
    <t xml:space="preserve">incident reports</t>
  </si>
  <si>
    <t xml:space="preserve">S-ACT ACTIVATION LEVEL DISTRIBUTION</t>
  </si>
  <si>
    <t xml:space="preserve">Level</t>
  </si>
  <si>
    <t xml:space="preserve">Description</t>
  </si>
  <si>
    <t xml:space="preserve">Count</t>
  </si>
  <si>
    <t xml:space="preserve">% of Total</t>
  </si>
  <si>
    <t xml:space="preserve">Risk Band</t>
  </si>
  <si>
    <t xml:space="preserve">1</t>
  </si>
  <si>
    <t xml:space="preserve">Baseline / No Activation</t>
  </si>
  <si>
    <t xml:space="preserve">GREEN</t>
  </si>
  <si>
    <t xml:space="preserve">2</t>
  </si>
  <si>
    <t xml:space="preserve">Mild Activation</t>
  </si>
  <si>
    <t xml:space="preserve">3</t>
  </si>
  <si>
    <t xml:space="preserve">Moderate Activation</t>
  </si>
  <si>
    <t xml:space="preserve">AMBER</t>
  </si>
  <si>
    <t xml:space="preserve">4</t>
  </si>
  <si>
    <t xml:space="preserve">High Activation — HO-12.1 Trigger</t>
  </si>
  <si>
    <t xml:space="preserve">RED</t>
  </si>
  <si>
    <t xml:space="preserve">5</t>
  </si>
  <si>
    <t xml:space="preserve">Crisis Level — Immediate SPI</t>
  </si>
  <si>
    <t xml:space="preserve">TOTAL</t>
  </si>
  <si>
    <t xml:space="preserve">WRH MASTER CURRICULUM — PILOT PROGRAM METRIC TEMPLATE (Sessions 1–30)</t>
  </si>
  <si>
    <t xml:space="preserve">Use one row per session per cohort. Session 12 rows auto-link to S12 Session Log.</t>
  </si>
  <si>
    <t xml:space="preserve">Session Name</t>
  </si>
  <si>
    <t xml:space="preserve">Date Delivered</t>
  </si>
  <si>
    <t xml:space="preserve">Facilitator</t>
  </si>
  <si>
    <t xml:space="preserve">Participants
Attended</t>
  </si>
  <si>
    <t xml:space="preserve">Completion
%</t>
  </si>
  <si>
    <t xml:space="preserve">Avg S-ACT
(if applicable)</t>
  </si>
  <si>
    <t xml:space="preserve">Incidents
Logged</t>
  </si>
  <si>
    <t xml:space="preserve">Workbook
Submitted</t>
  </si>
  <si>
    <t xml:space="preserve">Slide Deck
Used</t>
  </si>
  <si>
    <t xml:space="preserve">RGP
Completed</t>
  </si>
  <si>
    <t xml:space="preserve">Notes</t>
  </si>
  <si>
    <t xml:space="preserve">System Logic Orientation</t>
  </si>
  <si>
    <t xml:space="preserve">The Survival Mandate</t>
  </si>
  <si>
    <t xml:space="preserve">Nervous System Architecture</t>
  </si>
  <si>
    <t xml:space="preserve">Pattern Recognition Loop</t>
  </si>
  <si>
    <t xml:space="preserve">The Threat Matrix</t>
  </si>
  <si>
    <t xml:space="preserve">Freeze / Fight / Flight Mapping</t>
  </si>
  <si>
    <t xml:space="preserve">The Wiring Blueprint</t>
  </si>
  <si>
    <t xml:space="preserve">Chemical Messengers</t>
  </si>
  <si>
    <t xml:space="preserve">Pain as Data</t>
  </si>
  <si>
    <t xml:space="preserve">The Memory Loop</t>
  </si>
  <si>
    <t xml:space="preserve">Trigger Identification</t>
  </si>
  <si>
    <t xml:space="preserve">Internal Behavioral Conflict Systems</t>
  </si>
  <si>
    <t xml:space="preserve">The Override System</t>
  </si>
  <si>
    <t xml:space="preserve">Behavioral Contracts</t>
  </si>
  <si>
    <t xml:space="preserve">Identity Architecture</t>
  </si>
  <si>
    <t xml:space="preserve">Core Wound Mapping</t>
  </si>
  <si>
    <t xml:space="preserve">The Shame Spiral</t>
  </si>
  <si>
    <t xml:space="preserve">Emotional Regulation Framework</t>
  </si>
  <si>
    <t xml:space="preserve">The Mask Protocol</t>
  </si>
  <si>
    <t xml:space="preserve">Social Wiring</t>
  </si>
  <si>
    <t xml:space="preserve">Attachment Systems</t>
  </si>
  <si>
    <t xml:space="preserve">The Conflict Engine</t>
  </si>
  <si>
    <t xml:space="preserve">Recovery as Recalibration</t>
  </si>
  <si>
    <t xml:space="preserve">The Reset Protocol</t>
  </si>
  <si>
    <t xml:space="preserve">Reintegration Mapping</t>
  </si>
  <si>
    <t xml:space="preserve">Laws of Survival Review</t>
  </si>
  <si>
    <t xml:space="preserve">Operational Journey Launch</t>
  </si>
  <si>
    <t xml:space="preserve">Mechanical Loop Analysis</t>
  </si>
  <si>
    <t xml:space="preserve">Biological Program Reset</t>
  </si>
  <si>
    <t xml:space="preserve">Pilot Cohort Completion Review</t>
  </si>
  <si>
    <t xml:space="preserve">⚠  RED ROW = Session 12 (High Activation). Avg S-ACT and Incident count auto-pulled from 'S12 Session Log'.  ● Blue cells = live formulas linked to Dashboard.</t>
  </si>
  <si>
    <t xml:space="preserve">DE-IDENTIFIED CSV EXPORT STANDARD — Adverse Event Reporting</t>
  </si>
  <si>
    <t xml:space="preserve">Per WRH Crisis Package § 3.2 — Weekly export, all PII removed. For VA/DoD compliance reporting.</t>
  </si>
  <si>
    <t xml:space="preserve">Field Name</t>
  </si>
  <si>
    <t xml:space="preserve">Data Type</t>
  </si>
  <si>
    <t xml:space="preserve">Example Value</t>
  </si>
  <si>
    <t xml:space="preserve">Required?</t>
  </si>
  <si>
    <t xml:space="preserve">incident_id</t>
  </si>
  <si>
    <t xml:space="preserve">String</t>
  </si>
  <si>
    <t xml:space="preserve">20260117-001</t>
  </si>
  <si>
    <t xml:space="preserve">YES</t>
  </si>
  <si>
    <t xml:space="preserve">Auto-generated. Date + sequential number.</t>
  </si>
  <si>
    <t xml:space="preserve">date</t>
  </si>
  <si>
    <t xml:space="preserve">2026-01-17</t>
  </si>
  <si>
    <t xml:space="preserve">ISO 8601 format. No participant-identifying dates.</t>
  </si>
  <si>
    <t xml:space="preserve">session_number</t>
  </si>
  <si>
    <t xml:space="preserve">Integer</t>
  </si>
  <si>
    <t xml:space="preserve">12</t>
  </si>
  <si>
    <t xml:space="preserve">WRH session number.</t>
  </si>
  <si>
    <t xml:space="preserve">delivery_tier</t>
  </si>
  <si>
    <t xml:space="preserve">1=Community, 2=Structured, 3=Clinical.</t>
  </si>
  <si>
    <t xml:space="preserve">cohort_id</t>
  </si>
  <si>
    <t xml:space="preserve">COHORT-007</t>
  </si>
  <si>
    <t xml:space="preserve">De-identified cohort code, no names.</t>
  </si>
  <si>
    <t xml:space="preserve">s_act_level</t>
  </si>
  <si>
    <t xml:space="preserve">1–5 scale. See S-Prefix Framework.</t>
  </si>
  <si>
    <t xml:space="preserve">s_reg_outcome</t>
  </si>
  <si>
    <t xml:space="preserve">Partial</t>
  </si>
  <si>
    <t xml:space="preserve">Success | Partial | Fail</t>
  </si>
  <si>
    <t xml:space="preserve">s_int_type</t>
  </si>
  <si>
    <t xml:space="preserve">SPI</t>
  </si>
  <si>
    <t xml:space="preserve">Verbal | RGP | SPI</t>
  </si>
  <si>
    <t xml:space="preserve">s_out_result</t>
  </si>
  <si>
    <t xml:space="preserve">Handoff</t>
  </si>
  <si>
    <t xml:space="preserve">Stabilized | Handoff | Exit</t>
  </si>
  <si>
    <t xml:space="preserve">spi_handoff</t>
  </si>
  <si>
    <t xml:space="preserve">Boolean</t>
  </si>
  <si>
    <t xml:space="preserve">TRUE</t>
  </si>
  <si>
    <t xml:space="preserve">TRUE if SPI warm handoff occurred.</t>
  </si>
  <si>
    <t xml:space="preserve">clinical_notified</t>
  </si>
  <si>
    <t xml:space="preserve">COND</t>
  </si>
  <si>
    <t xml:space="preserve">Required if spi_handoff = TRUE.</t>
  </si>
  <si>
    <t xml:space="preserve">incident_report_filed</t>
  </si>
  <si>
    <t xml:space="preserve">Must be TRUE within 24 hours.</t>
  </si>
  <si>
    <t xml:space="preserve">seven_day_followup</t>
  </si>
  <si>
    <t xml:space="preserve">FALSE</t>
  </si>
  <si>
    <t xml:space="preserve">Updated at 7-day mark.</t>
  </si>
  <si>
    <t xml:space="preserve">description</t>
  </si>
  <si>
    <t xml:space="preserve">Participant reported elevated distress during Parts Audit.</t>
  </si>
  <si>
    <t xml:space="preserve">NO names, dates of birth, SSN, addresses, or identifiers.</t>
  </si>
  <si>
    <t xml:space="preserve">program_coordinator</t>
  </si>
  <si>
    <t xml:space="preserve">COORD-003</t>
  </si>
  <si>
    <t xml:space="preserve">De-identified coordinator ID, not name.</t>
  </si>
  <si>
    <t xml:space="preserve">export_date</t>
  </si>
  <si>
    <t xml:space="preserve">2026-01-24</t>
  </si>
  <si>
    <t xml:space="preserve">Date of weekly export.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</si>
</sst>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@"/>
    <numFmt numFmtId="166" formatCode="mm/dd/yyyy"/>
    <numFmt numFmtId="167" formatCode="General"/>
    <numFmt numFmtId="168" formatCode="0.0"/>
    <numFmt numFmtId="169" formatCode="0.0%"/>
    <numFmt numFmtId="170" formatCode="0%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sz val="9"/>
      <color rgb="FFFFFF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b val="true"/>
      <sz val="9"/>
      <color rgb="FF1F3864"/>
      <name val="Arial"/>
      <family val="0"/>
      <charset val="1"/>
    </font>
    <font>
      <b val="true"/>
      <sz val="20"/>
      <color rgb="FF1F3864"/>
      <name val="Arial"/>
      <family val="0"/>
      <charset val="1"/>
    </font>
    <font>
      <sz val="8"/>
      <color rgb="FF666666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9"/>
      <color rgb="FF000000"/>
      <name val="Arial"/>
      <family val="0"/>
      <charset val="1"/>
    </font>
    <font>
      <b val="true"/>
      <sz val="9"/>
      <color rgb="FFC00000"/>
      <name val="Arial"/>
      <family val="0"/>
      <charset val="1"/>
    </font>
    <font>
      <i val="true"/>
      <sz val="9"/>
      <color rgb="FF0070C0"/>
      <name val="Arial"/>
      <family val="0"/>
      <charset val="1"/>
    </font>
    <font>
      <i val="true"/>
      <sz val="9"/>
      <color rgb="FF555555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9"/>
      <color rgb="FF375623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1F3864"/>
        <bgColor rgb="FF375623"/>
      </patternFill>
    </fill>
    <fill>
      <patternFill patternType="solid">
        <fgColor rgb="FF2E74B5"/>
        <bgColor rgb="FF0070C0"/>
      </patternFill>
    </fill>
    <fill>
      <patternFill patternType="solid">
        <fgColor rgb="FFF2F2F2"/>
        <bgColor rgb="FFE2EFDA"/>
      </patternFill>
    </fill>
    <fill>
      <patternFill patternType="solid">
        <fgColor rgb="FFFFFFFF"/>
        <bgColor rgb="FFF2F2F2"/>
      </patternFill>
    </fill>
    <fill>
      <patternFill patternType="solid">
        <fgColor rgb="FFD6E4F0"/>
        <bgColor rgb="FFE2EFDA"/>
      </patternFill>
    </fill>
    <fill>
      <patternFill patternType="solid">
        <fgColor rgb="FFFCE4D6"/>
        <bgColor rgb="FFF2F2F2"/>
      </patternFill>
    </fill>
    <fill>
      <patternFill patternType="solid">
        <fgColor rgb="FFE2EFDA"/>
        <bgColor rgb="FFF2F2F2"/>
      </patternFill>
    </fill>
    <fill>
      <patternFill patternType="solid">
        <fgColor rgb="FFFFEB9C"/>
        <bgColor rgb="FFFCE4D6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 diagonalUp="false" diagonalDown="false">
      <left style="thin">
        <color rgb="FFBBBBBB"/>
      </left>
      <right/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0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0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0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10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9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13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4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0" fillId="4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0" fillId="4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0" fillId="4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5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0" fillId="5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0" fillId="5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0" fillId="5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7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0" fillId="7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0" fillId="7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5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15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7" borderId="1" xfId="0" applyFont="fals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9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7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>
          <bgColor rgb="FFFCE4D6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08080"/>
      <rgbColor rgb="FF9999FF"/>
      <rgbColor rgb="FF993366"/>
      <rgbColor rgb="FFF2F2F2"/>
      <rgbColor rgb="FFCCFFFF"/>
      <rgbColor rgb="FF660066"/>
      <rgbColor rgb="FFFF8080"/>
      <rgbColor rgb="FF0070C0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EB9C"/>
      <rgbColor rgb="FF99CCFF"/>
      <rgbColor rgb="FFFF99CC"/>
      <rgbColor rgb="FFCC99FF"/>
      <rgbColor rgb="FFFCE4D6"/>
      <rgbColor rgb="FF2E74B5"/>
      <rgbColor rgb="FF33CCCC"/>
      <rgbColor rgb="FF99CC00"/>
      <rgbColor rgb="FFFFCC00"/>
      <rgbColor rgb="FFFF9900"/>
      <rgbColor rgb="FFFF6600"/>
      <rgbColor rgb="FF666666"/>
      <rgbColor rgb="FF969696"/>
      <rgbColor rgb="FF1F3864"/>
      <rgbColor rgb="FF339966"/>
      <rgbColor rgb="FF003300"/>
      <rgbColor rgb="FF333300"/>
      <rgbColor rgb="FF993300"/>
      <rgbColor rgb="FF993366"/>
      <rgbColor rgb="FF555555"/>
      <rgbColor rgb="FF3756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5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2"/>
    <col collapsed="false" customWidth="true" hidden="false" outlineLevel="0" max="6" min="3" style="0" width="10"/>
    <col collapsed="false" customWidth="true" hidden="false" outlineLevel="0" max="9" min="7" style="0" width="8"/>
    <col collapsed="false" customWidth="true" hidden="false" outlineLevel="0" max="10" min="10" style="0" width="12"/>
    <col collapsed="false" customWidth="true" hidden="false" outlineLevel="0" max="11" min="11" style="0" width="10"/>
    <col collapsed="false" customWidth="true" hidden="false" outlineLevel="0" max="14" min="12" style="0" width="12"/>
    <col collapsed="false" customWidth="true" hidden="false" outlineLevel="0" max="15" min="15" style="0" width="30"/>
    <col collapsed="false" customWidth="true" hidden="false" outlineLevel="0" max="16" min="16" style="0" width="16"/>
  </cols>
  <sheetData>
    <row r="1" customFormat="false" ht="27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customFormat="false" ht="18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3" customFormat="false" ht="36" hidden="false" customHeight="true" outlineLevel="0" collapsed="false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  <c r="M3" s="3" t="s">
        <v>14</v>
      </c>
      <c r="N3" s="3" t="s">
        <v>15</v>
      </c>
      <c r="O3" s="3" t="s">
        <v>16</v>
      </c>
      <c r="P3" s="3" t="s">
        <v>17</v>
      </c>
    </row>
    <row r="4" customFormat="false" ht="15" hidden="false" customHeight="false" outlineLevel="0" collapsed="false">
      <c r="A4" s="4" t="str">
        <f aca="false">IF(B4="","",TEXT(B4,"YYYYMMDD")&amp;"-"&amp;TEXT(ROW()-3,"000"))</f>
        <v/>
      </c>
      <c r="B4" s="5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7"/>
      <c r="P4" s="6" t="str">
        <f aca="false">IF(OR(G4&gt;=4,H4="F",I4="SPI"),IF(G4&gt;=4,"⚠ HIGH ACTIVATION","")&amp;IF(H4="F"," | RGP FAILED","")&amp;IF(I4="SPI"," | SPI TRIGGERED",""),IF(B4&lt;&gt;"","✓ Normal",""))</f>
        <v/>
      </c>
    </row>
    <row r="5" customFormat="false" ht="15" hidden="false" customHeight="false" outlineLevel="0" collapsed="false">
      <c r="A5" s="8" t="str">
        <f aca="false">IF(B5="","",TEXT(B5,"YYYYMMDD")&amp;"-"&amp;TEXT(ROW()-3,"000"))</f>
        <v/>
      </c>
      <c r="B5" s="9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1"/>
      <c r="P5" s="10" t="str">
        <f aca="false">IF(OR(G5&gt;=4,H5="F",I5="SPI"),IF(G5&gt;=4,"⚠ HIGH ACTIVATION","")&amp;IF(H5="F"," | RGP FAILED","")&amp;IF(I5="SPI"," | SPI TRIGGERED",""),IF(B5&lt;&gt;"","✓ Normal",""))</f>
        <v/>
      </c>
    </row>
    <row r="6" customFormat="false" ht="15" hidden="false" customHeight="false" outlineLevel="0" collapsed="false">
      <c r="A6" s="4" t="str">
        <f aca="false">IF(B6="","",TEXT(B6,"YYYYMMDD")&amp;"-"&amp;TEXT(ROW()-3,"000"))</f>
        <v/>
      </c>
      <c r="B6" s="5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7"/>
      <c r="P6" s="6" t="str">
        <f aca="false">IF(OR(G6&gt;=4,H6="F",I6="SPI"),IF(G6&gt;=4,"⚠ HIGH ACTIVATION","")&amp;IF(H6="F"," | RGP FAILED","")&amp;IF(I6="SPI"," | SPI TRIGGERED",""),IF(B6&lt;&gt;"","✓ Normal",""))</f>
        <v/>
      </c>
    </row>
    <row r="7" customFormat="false" ht="15" hidden="false" customHeight="false" outlineLevel="0" collapsed="false">
      <c r="A7" s="8" t="str">
        <f aca="false">IF(B7="","",TEXT(B7,"YYYYMMDD")&amp;"-"&amp;TEXT(ROW()-3,"000"))</f>
        <v/>
      </c>
      <c r="B7" s="9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1"/>
      <c r="P7" s="10" t="str">
        <f aca="false">IF(OR(G7&gt;=4,H7="F",I7="SPI"),IF(G7&gt;=4,"⚠ HIGH ACTIVATION","")&amp;IF(H7="F"," | RGP FAILED","")&amp;IF(I7="SPI"," | SPI TRIGGERED",""),IF(B7&lt;&gt;"","✓ Normal",""))</f>
        <v/>
      </c>
    </row>
    <row r="8" customFormat="false" ht="15" hidden="false" customHeight="false" outlineLevel="0" collapsed="false">
      <c r="A8" s="4" t="str">
        <f aca="false">IF(B8="","",TEXT(B8,"YYYYMMDD")&amp;"-"&amp;TEXT(ROW()-3,"000"))</f>
        <v/>
      </c>
      <c r="B8" s="5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7"/>
      <c r="P8" s="6" t="str">
        <f aca="false">IF(OR(G8&gt;=4,H8="F",I8="SPI"),IF(G8&gt;=4,"⚠ HIGH ACTIVATION","")&amp;IF(H8="F"," | RGP FAILED","")&amp;IF(I8="SPI"," | SPI TRIGGERED",""),IF(B8&lt;&gt;"","✓ Normal",""))</f>
        <v/>
      </c>
    </row>
    <row r="9" customFormat="false" ht="15" hidden="false" customHeight="false" outlineLevel="0" collapsed="false">
      <c r="A9" s="8" t="str">
        <f aca="false">IF(B9="","",TEXT(B9,"YYYYMMDD")&amp;"-"&amp;TEXT(ROW()-3,"000"))</f>
        <v/>
      </c>
      <c r="B9" s="9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1"/>
      <c r="P9" s="10" t="str">
        <f aca="false">IF(OR(G9&gt;=4,H9="F",I9="SPI"),IF(G9&gt;=4,"⚠ HIGH ACTIVATION","")&amp;IF(H9="F"," | RGP FAILED","")&amp;IF(I9="SPI"," | SPI TRIGGERED",""),IF(B9&lt;&gt;"","✓ Normal",""))</f>
        <v/>
      </c>
    </row>
    <row r="10" customFormat="false" ht="15" hidden="false" customHeight="false" outlineLevel="0" collapsed="false">
      <c r="A10" s="4" t="str">
        <f aca="false">IF(B10="","",TEXT(B10,"YYYYMMDD")&amp;"-"&amp;TEXT(ROW()-3,"000"))</f>
        <v/>
      </c>
      <c r="B10" s="5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7"/>
      <c r="P10" s="6" t="str">
        <f aca="false">IF(OR(G10&gt;=4,H10="F",I10="SPI"),IF(G10&gt;=4,"⚠ HIGH ACTIVATION","")&amp;IF(H10="F"," | RGP FAILED","")&amp;IF(I10="SPI"," | SPI TRIGGERED",""),IF(B10&lt;&gt;"","✓ Normal",""))</f>
        <v/>
      </c>
    </row>
    <row r="11" customFormat="false" ht="15" hidden="false" customHeight="false" outlineLevel="0" collapsed="false">
      <c r="A11" s="8" t="str">
        <f aca="false">IF(B11="","",TEXT(B11,"YYYYMMDD")&amp;"-"&amp;TEXT(ROW()-3,"000"))</f>
        <v/>
      </c>
      <c r="B11" s="9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1"/>
      <c r="P11" s="10" t="str">
        <f aca="false">IF(OR(G11&gt;=4,H11="F",I11="SPI"),IF(G11&gt;=4,"⚠ HIGH ACTIVATION","")&amp;IF(H11="F"," | RGP FAILED","")&amp;IF(I11="SPI"," | SPI TRIGGERED",""),IF(B11&lt;&gt;"","✓ Normal",""))</f>
        <v/>
      </c>
    </row>
    <row r="12" customFormat="false" ht="15" hidden="false" customHeight="false" outlineLevel="0" collapsed="false">
      <c r="A12" s="4" t="str">
        <f aca="false">IF(B12="","",TEXT(B12,"YYYYMMDD")&amp;"-"&amp;TEXT(ROW()-3,"000"))</f>
        <v/>
      </c>
      <c r="B12" s="5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7"/>
      <c r="P12" s="6" t="str">
        <f aca="false">IF(OR(G12&gt;=4,H12="F",I12="SPI"),IF(G12&gt;=4,"⚠ HIGH ACTIVATION","")&amp;IF(H12="F"," | RGP FAILED","")&amp;IF(I12="SPI"," | SPI TRIGGERED",""),IF(B12&lt;&gt;"","✓ Normal",""))</f>
        <v/>
      </c>
    </row>
    <row r="13" customFormat="false" ht="15" hidden="false" customHeight="false" outlineLevel="0" collapsed="false">
      <c r="A13" s="8" t="str">
        <f aca="false">IF(B13="","",TEXT(B13,"YYYYMMDD")&amp;"-"&amp;TEXT(ROW()-3,"000"))</f>
        <v/>
      </c>
      <c r="B13" s="9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1"/>
      <c r="P13" s="10" t="str">
        <f aca="false">IF(OR(G13&gt;=4,H13="F",I13="SPI"),IF(G13&gt;=4,"⚠ HIGH ACTIVATION","")&amp;IF(H13="F"," | RGP FAILED","")&amp;IF(I13="SPI"," | SPI TRIGGERED",""),IF(B13&lt;&gt;"","✓ Normal",""))</f>
        <v/>
      </c>
    </row>
    <row r="14" customFormat="false" ht="15" hidden="false" customHeight="false" outlineLevel="0" collapsed="false">
      <c r="A14" s="4" t="str">
        <f aca="false">IF(B14="","",TEXT(B14,"YYYYMMDD")&amp;"-"&amp;TEXT(ROW()-3,"000"))</f>
        <v/>
      </c>
      <c r="B14" s="5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7"/>
      <c r="P14" s="6" t="str">
        <f aca="false">IF(OR(G14&gt;=4,H14="F",I14="SPI"),IF(G14&gt;=4,"⚠ HIGH ACTIVATION","")&amp;IF(H14="F"," | RGP FAILED","")&amp;IF(I14="SPI"," | SPI TRIGGERED",""),IF(B14&lt;&gt;"","✓ Normal",""))</f>
        <v/>
      </c>
    </row>
    <row r="15" customFormat="false" ht="15" hidden="false" customHeight="false" outlineLevel="0" collapsed="false">
      <c r="A15" s="8" t="str">
        <f aca="false">IF(B15="","",TEXT(B15,"YYYYMMDD")&amp;"-"&amp;TEXT(ROW()-3,"000"))</f>
        <v/>
      </c>
      <c r="B15" s="9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1"/>
      <c r="P15" s="10" t="str">
        <f aca="false">IF(OR(G15&gt;=4,H15="F",I15="SPI"),IF(G15&gt;=4,"⚠ HIGH ACTIVATION","")&amp;IF(H15="F"," | RGP FAILED","")&amp;IF(I15="SPI"," | SPI TRIGGERED",""),IF(B15&lt;&gt;"","✓ Normal",""))</f>
        <v/>
      </c>
    </row>
    <row r="16" customFormat="false" ht="15" hidden="false" customHeight="false" outlineLevel="0" collapsed="false">
      <c r="A16" s="4" t="str">
        <f aca="false">IF(B16="","",TEXT(B16,"YYYYMMDD")&amp;"-"&amp;TEXT(ROW()-3,"000"))</f>
        <v/>
      </c>
      <c r="B16" s="5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7"/>
      <c r="P16" s="6" t="str">
        <f aca="false">IF(OR(G16&gt;=4,H16="F",I16="SPI"),IF(G16&gt;=4,"⚠ HIGH ACTIVATION","")&amp;IF(H16="F"," | RGP FAILED","")&amp;IF(I16="SPI"," | SPI TRIGGERED",""),IF(B16&lt;&gt;"","✓ Normal",""))</f>
        <v/>
      </c>
    </row>
    <row r="17" customFormat="false" ht="15" hidden="false" customHeight="false" outlineLevel="0" collapsed="false">
      <c r="A17" s="8" t="str">
        <f aca="false">IF(B17="","",TEXT(B17,"YYYYMMDD")&amp;"-"&amp;TEXT(ROW()-3,"000"))</f>
        <v/>
      </c>
      <c r="B17" s="9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1"/>
      <c r="P17" s="10" t="str">
        <f aca="false">IF(OR(G17&gt;=4,H17="F",I17="SPI"),IF(G17&gt;=4,"⚠ HIGH ACTIVATION","")&amp;IF(H17="F"," | RGP FAILED","")&amp;IF(I17="SPI"," | SPI TRIGGERED",""),IF(B17&lt;&gt;"","✓ Normal",""))</f>
        <v/>
      </c>
    </row>
    <row r="18" customFormat="false" ht="15" hidden="false" customHeight="false" outlineLevel="0" collapsed="false">
      <c r="A18" s="4" t="str">
        <f aca="false">IF(B18="","",TEXT(B18,"YYYYMMDD")&amp;"-"&amp;TEXT(ROW()-3,"000"))</f>
        <v/>
      </c>
      <c r="B18" s="5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7"/>
      <c r="P18" s="6" t="str">
        <f aca="false">IF(OR(G18&gt;=4,H18="F",I18="SPI"),IF(G18&gt;=4,"⚠ HIGH ACTIVATION","")&amp;IF(H18="F"," | RGP FAILED","")&amp;IF(I18="SPI"," | SPI TRIGGERED",""),IF(B18&lt;&gt;"","✓ Normal",""))</f>
        <v/>
      </c>
    </row>
    <row r="19" customFormat="false" ht="15" hidden="false" customHeight="false" outlineLevel="0" collapsed="false">
      <c r="A19" s="8" t="str">
        <f aca="false">IF(B19="","",TEXT(B19,"YYYYMMDD")&amp;"-"&amp;TEXT(ROW()-3,"000"))</f>
        <v/>
      </c>
      <c r="B19" s="9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1"/>
      <c r="P19" s="10" t="str">
        <f aca="false">IF(OR(G19&gt;=4,H19="F",I19="SPI"),IF(G19&gt;=4,"⚠ HIGH ACTIVATION","")&amp;IF(H19="F"," | RGP FAILED","")&amp;IF(I19="SPI"," | SPI TRIGGERED",""),IF(B19&lt;&gt;"","✓ Normal",""))</f>
        <v/>
      </c>
    </row>
    <row r="20" customFormat="false" ht="15" hidden="false" customHeight="false" outlineLevel="0" collapsed="false">
      <c r="A20" s="4" t="str">
        <f aca="false">IF(B20="","",TEXT(B20,"YYYYMMDD")&amp;"-"&amp;TEXT(ROW()-3,"000"))</f>
        <v/>
      </c>
      <c r="B20" s="5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7"/>
      <c r="P20" s="6" t="str">
        <f aca="false">IF(OR(G20&gt;=4,H20="F",I20="SPI"),IF(G20&gt;=4,"⚠ HIGH ACTIVATION","")&amp;IF(H20="F"," | RGP FAILED","")&amp;IF(I20="SPI"," | SPI TRIGGERED",""),IF(B20&lt;&gt;"","✓ Normal",""))</f>
        <v/>
      </c>
    </row>
    <row r="21" customFormat="false" ht="15" hidden="false" customHeight="false" outlineLevel="0" collapsed="false">
      <c r="A21" s="8" t="str">
        <f aca="false">IF(B21="","",TEXT(B21,"YYYYMMDD")&amp;"-"&amp;TEXT(ROW()-3,"000"))</f>
        <v/>
      </c>
      <c r="B21" s="9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1"/>
      <c r="P21" s="10" t="str">
        <f aca="false">IF(OR(G21&gt;=4,H21="F",I21="SPI"),IF(G21&gt;=4,"⚠ HIGH ACTIVATION","")&amp;IF(H21="F"," | RGP FAILED","")&amp;IF(I21="SPI"," | SPI TRIGGERED",""),IF(B21&lt;&gt;"","✓ Normal",""))</f>
        <v/>
      </c>
    </row>
    <row r="22" customFormat="false" ht="15" hidden="false" customHeight="false" outlineLevel="0" collapsed="false">
      <c r="A22" s="4" t="str">
        <f aca="false">IF(B22="","",TEXT(B22,"YYYYMMDD")&amp;"-"&amp;TEXT(ROW()-3,"000"))</f>
        <v/>
      </c>
      <c r="B22" s="5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7"/>
      <c r="P22" s="6" t="str">
        <f aca="false">IF(OR(G22&gt;=4,H22="F",I22="SPI"),IF(G22&gt;=4,"⚠ HIGH ACTIVATION","")&amp;IF(H22="F"," | RGP FAILED","")&amp;IF(I22="SPI"," | SPI TRIGGERED",""),IF(B22&lt;&gt;"","✓ Normal",""))</f>
        <v/>
      </c>
    </row>
    <row r="23" customFormat="false" ht="15" hidden="false" customHeight="false" outlineLevel="0" collapsed="false">
      <c r="A23" s="8" t="str">
        <f aca="false">IF(B23="","",TEXT(B23,"YYYYMMDD")&amp;"-"&amp;TEXT(ROW()-3,"000"))</f>
        <v/>
      </c>
      <c r="B23" s="9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1"/>
      <c r="P23" s="10" t="str">
        <f aca="false">IF(OR(G23&gt;=4,H23="F",I23="SPI"),IF(G23&gt;=4,"⚠ HIGH ACTIVATION","")&amp;IF(H23="F"," | RGP FAILED","")&amp;IF(I23="SPI"," | SPI TRIGGERED",""),IF(B23&lt;&gt;"","✓ Normal",""))</f>
        <v/>
      </c>
    </row>
    <row r="24" customFormat="false" ht="15" hidden="false" customHeight="false" outlineLevel="0" collapsed="false">
      <c r="A24" s="4" t="str">
        <f aca="false">IF(B24="","",TEXT(B24,"YYYYMMDD")&amp;"-"&amp;TEXT(ROW()-3,"000"))</f>
        <v/>
      </c>
      <c r="B24" s="5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7"/>
      <c r="P24" s="6" t="str">
        <f aca="false">IF(OR(G24&gt;=4,H24="F",I24="SPI"),IF(G24&gt;=4,"⚠ HIGH ACTIVATION","")&amp;IF(H24="F"," | RGP FAILED","")&amp;IF(I24="SPI"," | SPI TRIGGERED",""),IF(B24&lt;&gt;"","✓ Normal",""))</f>
        <v/>
      </c>
    </row>
    <row r="25" customFormat="false" ht="15" hidden="false" customHeight="false" outlineLevel="0" collapsed="false">
      <c r="A25" s="8" t="str">
        <f aca="false">IF(B25="","",TEXT(B25,"YYYYMMDD")&amp;"-"&amp;TEXT(ROW()-3,"000"))</f>
        <v/>
      </c>
      <c r="B25" s="9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1"/>
      <c r="P25" s="10" t="str">
        <f aca="false">IF(OR(G25&gt;=4,H25="F",I25="SPI"),IF(G25&gt;=4,"⚠ HIGH ACTIVATION","")&amp;IF(H25="F"," | RGP FAILED","")&amp;IF(I25="SPI"," | SPI TRIGGERED",""),IF(B25&lt;&gt;"","✓ Normal",""))</f>
        <v/>
      </c>
    </row>
    <row r="26" customFormat="false" ht="15" hidden="false" customHeight="false" outlineLevel="0" collapsed="false">
      <c r="A26" s="4" t="str">
        <f aca="false">IF(B26="","",TEXT(B26,"YYYYMMDD")&amp;"-"&amp;TEXT(ROW()-3,"000"))</f>
        <v/>
      </c>
      <c r="B26" s="5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7"/>
      <c r="P26" s="6" t="str">
        <f aca="false">IF(OR(G26&gt;=4,H26="F",I26="SPI"),IF(G26&gt;=4,"⚠ HIGH ACTIVATION","")&amp;IF(H26="F"," | RGP FAILED","")&amp;IF(I26="SPI"," | SPI TRIGGERED",""),IF(B26&lt;&gt;"","✓ Normal",""))</f>
        <v/>
      </c>
    </row>
    <row r="27" customFormat="false" ht="15" hidden="false" customHeight="false" outlineLevel="0" collapsed="false">
      <c r="A27" s="8" t="str">
        <f aca="false">IF(B27="","",TEXT(B27,"YYYYMMDD")&amp;"-"&amp;TEXT(ROW()-3,"000"))</f>
        <v/>
      </c>
      <c r="B27" s="9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1"/>
      <c r="P27" s="10" t="str">
        <f aca="false">IF(OR(G27&gt;=4,H27="F",I27="SPI"),IF(G27&gt;=4,"⚠ HIGH ACTIVATION","")&amp;IF(H27="F"," | RGP FAILED","")&amp;IF(I27="SPI"," | SPI TRIGGERED",""),IF(B27&lt;&gt;"","✓ Normal",""))</f>
        <v/>
      </c>
    </row>
    <row r="28" customFormat="false" ht="15" hidden="false" customHeight="false" outlineLevel="0" collapsed="false">
      <c r="A28" s="4" t="str">
        <f aca="false">IF(B28="","",TEXT(B28,"YYYYMMDD")&amp;"-"&amp;TEXT(ROW()-3,"000"))</f>
        <v/>
      </c>
      <c r="B28" s="5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7"/>
      <c r="P28" s="6" t="str">
        <f aca="false">IF(OR(G28&gt;=4,H28="F",I28="SPI"),IF(G28&gt;=4,"⚠ HIGH ACTIVATION","")&amp;IF(H28="F"," | RGP FAILED","")&amp;IF(I28="SPI"," | SPI TRIGGERED",""),IF(B28&lt;&gt;"","✓ Normal",""))</f>
        <v/>
      </c>
    </row>
    <row r="29" customFormat="false" ht="15" hidden="false" customHeight="false" outlineLevel="0" collapsed="false">
      <c r="A29" s="8" t="str">
        <f aca="false">IF(B29="","",TEXT(B29,"YYYYMMDD")&amp;"-"&amp;TEXT(ROW()-3,"000"))</f>
        <v/>
      </c>
      <c r="B29" s="9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1"/>
      <c r="P29" s="10" t="str">
        <f aca="false">IF(OR(G29&gt;=4,H29="F",I29="SPI"),IF(G29&gt;=4,"⚠ HIGH ACTIVATION","")&amp;IF(H29="F"," | RGP FAILED","")&amp;IF(I29="SPI"," | SPI TRIGGERED",""),IF(B29&lt;&gt;"","✓ Normal",""))</f>
        <v/>
      </c>
    </row>
    <row r="30" customFormat="false" ht="15" hidden="false" customHeight="false" outlineLevel="0" collapsed="false">
      <c r="A30" s="4" t="str">
        <f aca="false">IF(B30="","",TEXT(B30,"YYYYMMDD")&amp;"-"&amp;TEXT(ROW()-3,"000"))</f>
        <v/>
      </c>
      <c r="B30" s="5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7"/>
      <c r="P30" s="6" t="str">
        <f aca="false">IF(OR(G30&gt;=4,H30="F",I30="SPI"),IF(G30&gt;=4,"⚠ HIGH ACTIVATION","")&amp;IF(H30="F"," | RGP FAILED","")&amp;IF(I30="SPI"," | SPI TRIGGERED",""),IF(B30&lt;&gt;"","✓ Normal",""))</f>
        <v/>
      </c>
    </row>
    <row r="31" customFormat="false" ht="15" hidden="false" customHeight="false" outlineLevel="0" collapsed="false">
      <c r="A31" s="8" t="str">
        <f aca="false">IF(B31="","",TEXT(B31,"YYYYMMDD")&amp;"-"&amp;TEXT(ROW()-3,"000"))</f>
        <v/>
      </c>
      <c r="B31" s="9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1"/>
      <c r="P31" s="10" t="str">
        <f aca="false">IF(OR(G31&gt;=4,H31="F",I31="SPI"),IF(G31&gt;=4,"⚠ HIGH ACTIVATION","")&amp;IF(H31="F"," | RGP FAILED","")&amp;IF(I31="SPI"," | SPI TRIGGERED",""),IF(B31&lt;&gt;"","✓ Normal",""))</f>
        <v/>
      </c>
    </row>
    <row r="32" customFormat="false" ht="15" hidden="false" customHeight="false" outlineLevel="0" collapsed="false">
      <c r="A32" s="4" t="str">
        <f aca="false">IF(B32="","",TEXT(B32,"YYYYMMDD")&amp;"-"&amp;TEXT(ROW()-3,"000"))</f>
        <v/>
      </c>
      <c r="B32" s="5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7"/>
      <c r="P32" s="6" t="str">
        <f aca="false">IF(OR(G32&gt;=4,H32="F",I32="SPI"),IF(G32&gt;=4,"⚠ HIGH ACTIVATION","")&amp;IF(H32="F"," | RGP FAILED","")&amp;IF(I32="SPI"," | SPI TRIGGERED",""),IF(B32&lt;&gt;"","✓ Normal",""))</f>
        <v/>
      </c>
    </row>
    <row r="33" customFormat="false" ht="15" hidden="false" customHeight="false" outlineLevel="0" collapsed="false">
      <c r="A33" s="8" t="str">
        <f aca="false">IF(B33="","",TEXT(B33,"YYYYMMDD")&amp;"-"&amp;TEXT(ROW()-3,"000"))</f>
        <v/>
      </c>
      <c r="B33" s="9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1"/>
      <c r="P33" s="10" t="str">
        <f aca="false">IF(OR(G33&gt;=4,H33="F",I33="SPI"),IF(G33&gt;=4,"⚠ HIGH ACTIVATION","")&amp;IF(H33="F"," | RGP FAILED","")&amp;IF(I33="SPI"," | SPI TRIGGERED",""),IF(B33&lt;&gt;"","✓ Normal",""))</f>
        <v/>
      </c>
    </row>
    <row r="34" customFormat="false" ht="15" hidden="false" customHeight="false" outlineLevel="0" collapsed="false">
      <c r="A34" s="4" t="str">
        <f aca="false">IF(B34="","",TEXT(B34,"YYYYMMDD")&amp;"-"&amp;TEXT(ROW()-3,"000"))</f>
        <v/>
      </c>
      <c r="B34" s="5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7"/>
      <c r="P34" s="6" t="str">
        <f aca="false">IF(OR(G34&gt;=4,H34="F",I34="SPI"),IF(G34&gt;=4,"⚠ HIGH ACTIVATION","")&amp;IF(H34="F"," | RGP FAILED","")&amp;IF(I34="SPI"," | SPI TRIGGERED",""),IF(B34&lt;&gt;"","✓ Normal",""))</f>
        <v/>
      </c>
    </row>
    <row r="35" customFormat="false" ht="15" hidden="false" customHeight="false" outlineLevel="0" collapsed="false">
      <c r="A35" s="8" t="str">
        <f aca="false">IF(B35="","",TEXT(B35,"YYYYMMDD")&amp;"-"&amp;TEXT(ROW()-3,"000"))</f>
        <v/>
      </c>
      <c r="B35" s="9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1"/>
      <c r="P35" s="10" t="str">
        <f aca="false">IF(OR(G35&gt;=4,H35="F",I35="SPI"),IF(G35&gt;=4,"⚠ HIGH ACTIVATION","")&amp;IF(H35="F"," | RGP FAILED","")&amp;IF(I35="SPI"," | SPI TRIGGERED",""),IF(B35&lt;&gt;"","✓ Normal",""))</f>
        <v/>
      </c>
    </row>
    <row r="36" customFormat="false" ht="15" hidden="false" customHeight="false" outlineLevel="0" collapsed="false">
      <c r="A36" s="4" t="str">
        <f aca="false">IF(B36="","",TEXT(B36,"YYYYMMDD")&amp;"-"&amp;TEXT(ROW()-3,"000"))</f>
        <v/>
      </c>
      <c r="B36" s="5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7"/>
      <c r="P36" s="6" t="str">
        <f aca="false">IF(OR(G36&gt;=4,H36="F",I36="SPI"),IF(G36&gt;=4,"⚠ HIGH ACTIVATION","")&amp;IF(H36="F"," | RGP FAILED","")&amp;IF(I36="SPI"," | SPI TRIGGERED",""),IF(B36&lt;&gt;"","✓ Normal",""))</f>
        <v/>
      </c>
    </row>
    <row r="37" customFormat="false" ht="15" hidden="false" customHeight="false" outlineLevel="0" collapsed="false">
      <c r="A37" s="8" t="str">
        <f aca="false">IF(B37="","",TEXT(B37,"YYYYMMDD")&amp;"-"&amp;TEXT(ROW()-3,"000"))</f>
        <v/>
      </c>
      <c r="B37" s="9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1"/>
      <c r="P37" s="10" t="str">
        <f aca="false">IF(OR(G37&gt;=4,H37="F",I37="SPI"),IF(G37&gt;=4,"⚠ HIGH ACTIVATION","")&amp;IF(H37="F"," | RGP FAILED","")&amp;IF(I37="SPI"," | SPI TRIGGERED",""),IF(B37&lt;&gt;"","✓ Normal",""))</f>
        <v/>
      </c>
    </row>
    <row r="38" customFormat="false" ht="15" hidden="false" customHeight="false" outlineLevel="0" collapsed="false">
      <c r="A38" s="4" t="str">
        <f aca="false">IF(B38="","",TEXT(B38,"YYYYMMDD")&amp;"-"&amp;TEXT(ROW()-3,"000"))</f>
        <v/>
      </c>
      <c r="B38" s="5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7"/>
      <c r="P38" s="6" t="str">
        <f aca="false">IF(OR(G38&gt;=4,H38="F",I38="SPI"),IF(G38&gt;=4,"⚠ HIGH ACTIVATION","")&amp;IF(H38="F"," | RGP FAILED","")&amp;IF(I38="SPI"," | SPI TRIGGERED",""),IF(B38&lt;&gt;"","✓ Normal",""))</f>
        <v/>
      </c>
    </row>
    <row r="39" customFormat="false" ht="15" hidden="false" customHeight="false" outlineLevel="0" collapsed="false">
      <c r="A39" s="8" t="str">
        <f aca="false">IF(B39="","",TEXT(B39,"YYYYMMDD")&amp;"-"&amp;TEXT(ROW()-3,"000"))</f>
        <v/>
      </c>
      <c r="B39" s="9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1"/>
      <c r="P39" s="10" t="str">
        <f aca="false">IF(OR(G39&gt;=4,H39="F",I39="SPI"),IF(G39&gt;=4,"⚠ HIGH ACTIVATION","")&amp;IF(H39="F"," | RGP FAILED","")&amp;IF(I39="SPI"," | SPI TRIGGERED",""),IF(B39&lt;&gt;"","✓ Normal",""))</f>
        <v/>
      </c>
    </row>
    <row r="40" customFormat="false" ht="15" hidden="false" customHeight="false" outlineLevel="0" collapsed="false">
      <c r="A40" s="4" t="str">
        <f aca="false">IF(B40="","",TEXT(B40,"YYYYMMDD")&amp;"-"&amp;TEXT(ROW()-3,"000"))</f>
        <v/>
      </c>
      <c r="B40" s="5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7"/>
      <c r="P40" s="6" t="str">
        <f aca="false">IF(OR(G40&gt;=4,H40="F",I40="SPI"),IF(G40&gt;=4,"⚠ HIGH ACTIVATION","")&amp;IF(H40="F"," | RGP FAILED","")&amp;IF(I40="SPI"," | SPI TRIGGERED",""),IF(B40&lt;&gt;"","✓ Normal",""))</f>
        <v/>
      </c>
    </row>
    <row r="41" customFormat="false" ht="15" hidden="false" customHeight="false" outlineLevel="0" collapsed="false">
      <c r="A41" s="8" t="str">
        <f aca="false">IF(B41="","",TEXT(B41,"YYYYMMDD")&amp;"-"&amp;TEXT(ROW()-3,"000"))</f>
        <v/>
      </c>
      <c r="B41" s="9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1"/>
      <c r="P41" s="10" t="str">
        <f aca="false">IF(OR(G41&gt;=4,H41="F",I41="SPI"),IF(G41&gt;=4,"⚠ HIGH ACTIVATION","")&amp;IF(H41="F"," | RGP FAILED","")&amp;IF(I41="SPI"," | SPI TRIGGERED",""),IF(B41&lt;&gt;"","✓ Normal",""))</f>
        <v/>
      </c>
    </row>
    <row r="42" customFormat="false" ht="15" hidden="false" customHeight="false" outlineLevel="0" collapsed="false">
      <c r="A42" s="4" t="str">
        <f aca="false">IF(B42="","",TEXT(B42,"YYYYMMDD")&amp;"-"&amp;TEXT(ROW()-3,"000"))</f>
        <v/>
      </c>
      <c r="B42" s="5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7"/>
      <c r="P42" s="6" t="str">
        <f aca="false">IF(OR(G42&gt;=4,H42="F",I42="SPI"),IF(G42&gt;=4,"⚠ HIGH ACTIVATION","")&amp;IF(H42="F"," | RGP FAILED","")&amp;IF(I42="SPI"," | SPI TRIGGERED",""),IF(B42&lt;&gt;"","✓ Normal",""))</f>
        <v/>
      </c>
    </row>
    <row r="43" customFormat="false" ht="15" hidden="false" customHeight="false" outlineLevel="0" collapsed="false">
      <c r="A43" s="8" t="str">
        <f aca="false">IF(B43="","",TEXT(B43,"YYYYMMDD")&amp;"-"&amp;TEXT(ROW()-3,"000"))</f>
        <v/>
      </c>
      <c r="B43" s="9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1"/>
      <c r="P43" s="10" t="str">
        <f aca="false">IF(OR(G43&gt;=4,H43="F",I43="SPI"),IF(G43&gt;=4,"⚠ HIGH ACTIVATION","")&amp;IF(H43="F"," | RGP FAILED","")&amp;IF(I43="SPI"," | SPI TRIGGERED",""),IF(B43&lt;&gt;"","✓ Normal",""))</f>
        <v/>
      </c>
    </row>
    <row r="44" customFormat="false" ht="15" hidden="false" customHeight="false" outlineLevel="0" collapsed="false">
      <c r="A44" s="4" t="str">
        <f aca="false">IF(B44="","",TEXT(B44,"YYYYMMDD")&amp;"-"&amp;TEXT(ROW()-3,"000"))</f>
        <v/>
      </c>
      <c r="B44" s="5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7"/>
      <c r="P44" s="6" t="str">
        <f aca="false">IF(OR(G44&gt;=4,H44="F",I44="SPI"),IF(G44&gt;=4,"⚠ HIGH ACTIVATION","")&amp;IF(H44="F"," | RGP FAILED","")&amp;IF(I44="SPI"," | SPI TRIGGERED",""),IF(B44&lt;&gt;"","✓ Normal",""))</f>
        <v/>
      </c>
    </row>
    <row r="45" customFormat="false" ht="15" hidden="false" customHeight="false" outlineLevel="0" collapsed="false">
      <c r="A45" s="8" t="str">
        <f aca="false">IF(B45="","",TEXT(B45,"YYYYMMDD")&amp;"-"&amp;TEXT(ROW()-3,"000"))</f>
        <v/>
      </c>
      <c r="B45" s="9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1"/>
      <c r="P45" s="10" t="str">
        <f aca="false">IF(OR(G45&gt;=4,H45="F",I45="SPI"),IF(G45&gt;=4,"⚠ HIGH ACTIVATION","")&amp;IF(H45="F"," | RGP FAILED","")&amp;IF(I45="SPI"," | SPI TRIGGERED",""),IF(B45&lt;&gt;"","✓ Normal",""))</f>
        <v/>
      </c>
    </row>
    <row r="46" customFormat="false" ht="15" hidden="false" customHeight="false" outlineLevel="0" collapsed="false">
      <c r="A46" s="4" t="str">
        <f aca="false">IF(B46="","",TEXT(B46,"YYYYMMDD")&amp;"-"&amp;TEXT(ROW()-3,"000"))</f>
        <v/>
      </c>
      <c r="B46" s="5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7"/>
      <c r="P46" s="6" t="str">
        <f aca="false">IF(OR(G46&gt;=4,H46="F",I46="SPI"),IF(G46&gt;=4,"⚠ HIGH ACTIVATION","")&amp;IF(H46="F"," | RGP FAILED","")&amp;IF(I46="SPI"," | SPI TRIGGERED",""),IF(B46&lt;&gt;"","✓ Normal",""))</f>
        <v/>
      </c>
    </row>
    <row r="47" customFormat="false" ht="15" hidden="false" customHeight="false" outlineLevel="0" collapsed="false">
      <c r="A47" s="8" t="str">
        <f aca="false">IF(B47="","",TEXT(B47,"YYYYMMDD")&amp;"-"&amp;TEXT(ROW()-3,"000"))</f>
        <v/>
      </c>
      <c r="B47" s="9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1"/>
      <c r="P47" s="10" t="str">
        <f aca="false">IF(OR(G47&gt;=4,H47="F",I47="SPI"),IF(G47&gt;=4,"⚠ HIGH ACTIVATION","")&amp;IF(H47="F"," | RGP FAILED","")&amp;IF(I47="SPI"," | SPI TRIGGERED",""),IF(B47&lt;&gt;"","✓ Normal",""))</f>
        <v/>
      </c>
    </row>
    <row r="48" customFormat="false" ht="15" hidden="false" customHeight="false" outlineLevel="0" collapsed="false">
      <c r="A48" s="4" t="str">
        <f aca="false">IF(B48="","",TEXT(B48,"YYYYMMDD")&amp;"-"&amp;TEXT(ROW()-3,"000"))</f>
        <v/>
      </c>
      <c r="B48" s="5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7"/>
      <c r="P48" s="6" t="str">
        <f aca="false">IF(OR(G48&gt;=4,H48="F",I48="SPI"),IF(G48&gt;=4,"⚠ HIGH ACTIVATION","")&amp;IF(H48="F"," | RGP FAILED","")&amp;IF(I48="SPI"," | SPI TRIGGERED",""),IF(B48&lt;&gt;"","✓ Normal",""))</f>
        <v/>
      </c>
    </row>
    <row r="49" customFormat="false" ht="15" hidden="false" customHeight="false" outlineLevel="0" collapsed="false">
      <c r="A49" s="8" t="str">
        <f aca="false">IF(B49="","",TEXT(B49,"YYYYMMDD")&amp;"-"&amp;TEXT(ROW()-3,"000"))</f>
        <v/>
      </c>
      <c r="B49" s="9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1"/>
      <c r="P49" s="10" t="str">
        <f aca="false">IF(OR(G49&gt;=4,H49="F",I49="SPI"),IF(G49&gt;=4,"⚠ HIGH ACTIVATION","")&amp;IF(H49="F"," | RGP FAILED","")&amp;IF(I49="SPI"," | SPI TRIGGERED",""),IF(B49&lt;&gt;"","✓ Normal",""))</f>
        <v/>
      </c>
    </row>
    <row r="50" customFormat="false" ht="15" hidden="false" customHeight="false" outlineLevel="0" collapsed="false">
      <c r="A50" s="4" t="str">
        <f aca="false">IF(B50="","",TEXT(B50,"YYYYMMDD")&amp;"-"&amp;TEXT(ROW()-3,"000"))</f>
        <v/>
      </c>
      <c r="B50" s="5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7"/>
      <c r="P50" s="6" t="str">
        <f aca="false">IF(OR(G50&gt;=4,H50="F",I50="SPI"),IF(G50&gt;=4,"⚠ HIGH ACTIVATION","")&amp;IF(H50="F"," | RGP FAILED","")&amp;IF(I50="SPI"," | SPI TRIGGERED",""),IF(B50&lt;&gt;"","✓ Normal",""))</f>
        <v/>
      </c>
    </row>
    <row r="51" customFormat="false" ht="15" hidden="false" customHeight="false" outlineLevel="0" collapsed="false">
      <c r="A51" s="8" t="str">
        <f aca="false">IF(B51="","",TEXT(B51,"YYYYMMDD")&amp;"-"&amp;TEXT(ROW()-3,"000"))</f>
        <v/>
      </c>
      <c r="B51" s="9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1"/>
      <c r="P51" s="10" t="str">
        <f aca="false">IF(OR(G51&gt;=4,H51="F",I51="SPI"),IF(G51&gt;=4,"⚠ HIGH ACTIVATION","")&amp;IF(H51="F"," | RGP FAILED","")&amp;IF(I51="SPI"," | SPI TRIGGERED",""),IF(B51&lt;&gt;"","✓ Normal",""))</f>
        <v/>
      </c>
    </row>
    <row r="52" customFormat="false" ht="15" hidden="false" customHeight="false" outlineLevel="0" collapsed="false">
      <c r="A52" s="4" t="str">
        <f aca="false">IF(B52="","",TEXT(B52,"YYYYMMDD")&amp;"-"&amp;TEXT(ROW()-3,"000"))</f>
        <v/>
      </c>
      <c r="B52" s="5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7"/>
      <c r="P52" s="6" t="str">
        <f aca="false">IF(OR(G52&gt;=4,H52="F",I52="SPI"),IF(G52&gt;=4,"⚠ HIGH ACTIVATION","")&amp;IF(H52="F"," | RGP FAILED","")&amp;IF(I52="SPI"," | SPI TRIGGERED",""),IF(B52&lt;&gt;"","✓ Normal",""))</f>
        <v/>
      </c>
    </row>
    <row r="53" customFormat="false" ht="15" hidden="false" customHeight="false" outlineLevel="0" collapsed="false">
      <c r="A53" s="8" t="str">
        <f aca="false">IF(B53="","",TEXT(B53,"YYYYMMDD")&amp;"-"&amp;TEXT(ROW()-3,"000"))</f>
        <v/>
      </c>
      <c r="B53" s="9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1"/>
      <c r="P53" s="10" t="str">
        <f aca="false">IF(OR(G53&gt;=4,H53="F",I53="SPI"),IF(G53&gt;=4,"⚠ HIGH ACTIVATION","")&amp;IF(H53="F"," | RGP FAILED","")&amp;IF(I53="SPI"," | SPI TRIGGERED",""),IF(B53&lt;&gt;"","✓ Normal",""))</f>
        <v/>
      </c>
    </row>
  </sheetData>
  <mergeCells count="2">
    <mergeCell ref="A1:P1"/>
    <mergeCell ref="A2:P2"/>
  </mergeCells>
  <conditionalFormatting sqref="G4:G53">
    <cfRule type="colorScale" priority="2">
      <colorScale>
        <cfvo type="num" val="1"/>
        <cfvo type="num" val="3"/>
        <cfvo type="num" val="5"/>
        <color rgb="FF63BE7B"/>
        <color rgb="FFFFEB84"/>
        <color rgb="FFF8696B"/>
      </colorScale>
    </cfRule>
  </conditionalFormatting>
  <conditionalFormatting sqref="P4:P53">
    <cfRule type="expression" priority="3" aboveAverage="0" equalAverage="0" bottom="0" percent="0" rank="0" text="" dxfId="0">
      <formula>OR(G4&gt;=4,H4="F",I4="SPI")</formula>
    </cfRule>
  </conditionalFormatting>
  <dataValidations count="7">
    <dataValidation allowBlank="true" errorStyle="stop" operator="between" showDropDown="false" showErrorMessage="false" showInputMessage="false" sqref="E4:E53" type="list">
      <formula1>"1,2,3"</formula1>
      <formula2>0</formula2>
    </dataValidation>
    <dataValidation allowBlank="true" errorStyle="stop" operator="between" showDropDown="false" showErrorMessage="false" showInputMessage="false" sqref="F4:F53" type="list">
      <formula1>"Tier1,Tier2,Tier3"</formula1>
      <formula2>0</formula2>
    </dataValidation>
    <dataValidation allowBlank="true" errorStyle="stop" operator="between" showDropDown="false" showErrorMessage="false" showInputMessage="false" sqref="G4:G53" type="list">
      <formula1>"1,2,3,4,5"</formula1>
      <formula2>0</formula2>
    </dataValidation>
    <dataValidation allowBlank="true" errorStyle="stop" operator="between" showDropDown="false" showErrorMessage="false" showInputMessage="false" sqref="H4:H53" type="list">
      <formula1>"S,P,F"</formula1>
      <formula2>0</formula2>
    </dataValidation>
    <dataValidation allowBlank="true" errorStyle="stop" operator="between" showDropDown="false" showErrorMessage="false" showInputMessage="false" sqref="I4:I53" type="list">
      <formula1>"V,R,SPI"</formula1>
      <formula2>0</formula2>
    </dataValidation>
    <dataValidation allowBlank="true" errorStyle="stop" operator="between" showDropDown="false" showErrorMessage="false" showInputMessage="false" sqref="J4:J53" type="list">
      <formula1>"Stabilized,Handoff,Exit"</formula1>
      <formula2>0</formula2>
    </dataValidation>
    <dataValidation allowBlank="true" errorStyle="stop" operator="between" showDropDown="false" showErrorMessage="false" showInputMessage="false" sqref="K4:N53" type="list">
      <formula1>"Y,N"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0" min="1" style="0" width="14"/>
  </cols>
  <sheetData>
    <row r="1" customFormat="false" ht="25.5" hidden="false" customHeight="true" outlineLevel="0" collapsed="false">
      <c r="A1" s="12" t="s">
        <v>18</v>
      </c>
      <c r="B1" s="12"/>
      <c r="C1" s="12"/>
      <c r="D1" s="12"/>
      <c r="E1" s="12"/>
      <c r="F1" s="12"/>
      <c r="G1" s="12"/>
      <c r="H1" s="12"/>
      <c r="I1" s="12"/>
      <c r="J1" s="12"/>
    </row>
    <row r="2" customFormat="false" ht="15" hidden="false" customHeight="true" outlineLevel="0" collapsed="false">
      <c r="A2" s="2" t="s">
        <v>19</v>
      </c>
      <c r="B2" s="2"/>
      <c r="C2" s="2"/>
      <c r="D2" s="2"/>
      <c r="E2" s="2"/>
      <c r="F2" s="2"/>
      <c r="G2" s="2"/>
      <c r="H2" s="2"/>
      <c r="I2" s="2"/>
      <c r="J2" s="2"/>
    </row>
    <row r="4" customFormat="false" ht="21.75" hidden="false" customHeight="true" outlineLevel="0" collapsed="false">
      <c r="A4" s="13" t="s">
        <v>20</v>
      </c>
      <c r="B4" s="13"/>
      <c r="C4" s="13" t="s">
        <v>21</v>
      </c>
      <c r="D4" s="13"/>
      <c r="E4" s="13" t="s">
        <v>22</v>
      </c>
      <c r="F4" s="13"/>
      <c r="G4" s="14" t="s">
        <v>23</v>
      </c>
      <c r="H4" s="14"/>
      <c r="I4" s="14" t="s">
        <v>24</v>
      </c>
      <c r="J4" s="14"/>
    </row>
    <row r="5" customFormat="false" ht="21.75" hidden="false" customHeight="true" outlineLevel="0" collapsed="false">
      <c r="A5" s="15" t="n">
        <f aca="false">'S12 Session Log'!B4</f>
        <v>0</v>
      </c>
      <c r="B5" s="15"/>
      <c r="C5" s="16" t="n">
        <f aca="false">COUNTA('S12 Session Log'!B4:B53)</f>
        <v>0</v>
      </c>
      <c r="D5" s="16"/>
      <c r="E5" s="16" t="n">
        <f aca="false">COUNTIF('S12 Session Log'!G4:G53,"&gt;=4")</f>
        <v>0</v>
      </c>
      <c r="F5" s="16"/>
      <c r="G5" s="16" t="n">
        <f aca="false">COUNTIF('S12 Session Log'!I4:I53,"SPI")</f>
        <v>0</v>
      </c>
      <c r="H5" s="16"/>
      <c r="I5" s="16" t="n">
        <f aca="false">COUNTIF('S12 Session Log'!H4:H53,"F")</f>
        <v>0</v>
      </c>
      <c r="J5" s="16"/>
    </row>
    <row r="6" customFormat="false" ht="21.75" hidden="false" customHeight="true" outlineLevel="0" collapsed="false">
      <c r="A6" s="17" t="s">
        <v>25</v>
      </c>
      <c r="B6" s="17"/>
      <c r="C6" s="17" t="s">
        <v>26</v>
      </c>
      <c r="D6" s="17"/>
      <c r="E6" s="17" t="s">
        <v>27</v>
      </c>
      <c r="F6" s="17"/>
      <c r="G6" s="17" t="s">
        <v>28</v>
      </c>
      <c r="H6" s="17"/>
      <c r="I6" s="17" t="s">
        <v>29</v>
      </c>
      <c r="J6" s="17"/>
    </row>
    <row r="7" customFormat="false" ht="21.75" hidden="false" customHeight="true" outlineLevel="0" collapsed="false"/>
    <row r="8" customFormat="false" ht="21.75" hidden="false" customHeight="true" outlineLevel="0" collapsed="false">
      <c r="A8" s="13" t="s">
        <v>30</v>
      </c>
      <c r="B8" s="13"/>
      <c r="C8" s="18" t="s">
        <v>31</v>
      </c>
      <c r="D8" s="18"/>
      <c r="E8" s="18" t="s">
        <v>32</v>
      </c>
      <c r="F8" s="18"/>
      <c r="G8" s="18" t="s">
        <v>33</v>
      </c>
      <c r="H8" s="18"/>
      <c r="I8" s="18" t="s">
        <v>34</v>
      </c>
      <c r="J8" s="18"/>
    </row>
    <row r="9" customFormat="false" ht="21.75" hidden="false" customHeight="true" outlineLevel="0" collapsed="false">
      <c r="A9" s="19" t="n">
        <f aca="false">IFERROR(AVERAGEIF('S12 Session Log'!G4:G53,"&gt;0"),0)</f>
        <v>0</v>
      </c>
      <c r="B9" s="19"/>
      <c r="C9" s="20" t="n">
        <f aca="false">IFERROR(COUNTIF('S12 Session Log'!H4:H53,"S")/COUNTA('S12 Session Log'!H4:H53),0)</f>
        <v>0</v>
      </c>
      <c r="D9" s="20"/>
      <c r="E9" s="20" t="n">
        <f aca="false">IFERROR(COUNTIF('S12 Session Log'!L4:L53,"Y")/COUNTA('S12 Session Log'!L4:L53),0)</f>
        <v>0</v>
      </c>
      <c r="F9" s="20"/>
      <c r="G9" s="20" t="n">
        <f aca="false">IFERROR(COUNTIF('S12 Session Log'!N4:N53,"Y")/COUNTA('S12 Session Log'!N4:N53),0)</f>
        <v>0</v>
      </c>
      <c r="H9" s="20"/>
      <c r="I9" s="20" t="n">
        <f aca="false">IFERROR(COUNTIF('S12 Session Log'!M4:M53,"Y")/COUNTA('S12 Session Log'!M4:M53),0)</f>
        <v>0</v>
      </c>
      <c r="J9" s="20"/>
    </row>
    <row r="10" customFormat="false" ht="21.75" hidden="false" customHeight="true" outlineLevel="0" collapsed="false">
      <c r="A10" s="17" t="s">
        <v>35</v>
      </c>
      <c r="B10" s="17"/>
      <c r="C10" s="17" t="s">
        <v>36</v>
      </c>
      <c r="D10" s="17"/>
      <c r="E10" s="17" t="s">
        <v>37</v>
      </c>
      <c r="F10" s="17"/>
      <c r="G10" s="17" t="s">
        <v>38</v>
      </c>
      <c r="H10" s="17"/>
      <c r="I10" s="17" t="s">
        <v>39</v>
      </c>
      <c r="J10" s="17"/>
    </row>
    <row r="11" customFormat="false" ht="21.75" hidden="false" customHeight="true" outlineLevel="0" collapsed="false"/>
    <row r="12" customFormat="false" ht="21.75" hidden="false" customHeight="true" outlineLevel="0" collapsed="false"/>
    <row r="13" customFormat="false" ht="21.75" hidden="false" customHeight="true" outlineLevel="0" collapsed="false">
      <c r="A13" s="21" t="s">
        <v>40</v>
      </c>
      <c r="B13" s="21"/>
      <c r="C13" s="21"/>
      <c r="D13" s="21"/>
      <c r="E13" s="21"/>
      <c r="F13" s="21"/>
      <c r="G13" s="21"/>
      <c r="H13" s="21"/>
      <c r="I13" s="21"/>
      <c r="J13" s="21"/>
    </row>
    <row r="14" customFormat="false" ht="21.75" hidden="false" customHeight="true" outlineLevel="0" collapsed="false">
      <c r="A14" s="22" t="s">
        <v>41</v>
      </c>
      <c r="B14" s="22" t="s">
        <v>42</v>
      </c>
      <c r="C14" s="22" t="s">
        <v>43</v>
      </c>
      <c r="D14" s="22" t="s">
        <v>44</v>
      </c>
      <c r="E14" s="22" t="s">
        <v>45</v>
      </c>
    </row>
    <row r="15" customFormat="false" ht="21.75" hidden="false" customHeight="true" outlineLevel="0" collapsed="false">
      <c r="A15" s="23" t="s">
        <v>46</v>
      </c>
      <c r="B15" s="24" t="s">
        <v>47</v>
      </c>
      <c r="C15" s="23" t="n">
        <f aca="false">COUNTIF('S12 Session Log'!G$4:G$53,1)</f>
        <v>0</v>
      </c>
      <c r="D15" s="25" t="n">
        <f aca="false">IFERROR(C15/SUM(C15:C19),0)</f>
        <v>0</v>
      </c>
      <c r="E15" s="26" t="s">
        <v>48</v>
      </c>
    </row>
    <row r="16" customFormat="false" ht="21.75" hidden="false" customHeight="true" outlineLevel="0" collapsed="false">
      <c r="A16" s="23" t="s">
        <v>49</v>
      </c>
      <c r="B16" s="24" t="s">
        <v>50</v>
      </c>
      <c r="C16" s="23" t="n">
        <f aca="false">COUNTIF('S12 Session Log'!G$4:G$53,2)</f>
        <v>0</v>
      </c>
      <c r="D16" s="25" t="n">
        <f aca="false">IFERROR(C16/SUM(C15:C19),0)</f>
        <v>0</v>
      </c>
      <c r="E16" s="26" t="s">
        <v>48</v>
      </c>
    </row>
    <row r="17" customFormat="false" ht="21.75" hidden="false" customHeight="true" outlineLevel="0" collapsed="false">
      <c r="A17" s="23" t="s">
        <v>51</v>
      </c>
      <c r="B17" s="24" t="s">
        <v>52</v>
      </c>
      <c r="C17" s="23" t="n">
        <f aca="false">COUNTIF('S12 Session Log'!G$4:G$53,3)</f>
        <v>0</v>
      </c>
      <c r="D17" s="25" t="n">
        <f aca="false">IFERROR(C17/SUM(C15:C19),0)</f>
        <v>0</v>
      </c>
      <c r="E17" s="27" t="s">
        <v>53</v>
      </c>
    </row>
    <row r="18" customFormat="false" ht="21.75" hidden="false" customHeight="true" outlineLevel="0" collapsed="false">
      <c r="A18" s="23" t="s">
        <v>54</v>
      </c>
      <c r="B18" s="24" t="s">
        <v>55</v>
      </c>
      <c r="C18" s="23" t="n">
        <f aca="false">COUNTIF('S12 Session Log'!G$4:G$53,4)</f>
        <v>0</v>
      </c>
      <c r="D18" s="25" t="n">
        <f aca="false">IFERROR(C18/SUM(C15:C19),0)</f>
        <v>0</v>
      </c>
      <c r="E18" s="28" t="s">
        <v>56</v>
      </c>
    </row>
    <row r="19" customFormat="false" ht="21.75" hidden="false" customHeight="true" outlineLevel="0" collapsed="false">
      <c r="A19" s="23" t="s">
        <v>57</v>
      </c>
      <c r="B19" s="24" t="s">
        <v>58</v>
      </c>
      <c r="C19" s="23" t="n">
        <f aca="false">COUNTIF('S12 Session Log'!G$4:G$53,5)</f>
        <v>0</v>
      </c>
      <c r="D19" s="25" t="n">
        <f aca="false">IFERROR(C19/SUM(C15:C19),0)</f>
        <v>0</v>
      </c>
      <c r="E19" s="28" t="s">
        <v>56</v>
      </c>
    </row>
    <row r="20" customFormat="false" ht="21.75" hidden="false" customHeight="true" outlineLevel="0" collapsed="false">
      <c r="A20" s="29" t="s">
        <v>59</v>
      </c>
      <c r="B20" s="29"/>
      <c r="C20" s="29" t="n">
        <f aca="false">SUM(C15:C19)</f>
        <v>0</v>
      </c>
      <c r="D20" s="30" t="n">
        <f aca="false">SUM(D15:D19)</f>
        <v>0</v>
      </c>
      <c r="E20" s="29"/>
    </row>
  </sheetData>
  <mergeCells count="33">
    <mergeCell ref="A1:J1"/>
    <mergeCell ref="A2:J2"/>
    <mergeCell ref="A4:B4"/>
    <mergeCell ref="C4:D4"/>
    <mergeCell ref="E4:F4"/>
    <mergeCell ref="G4:H4"/>
    <mergeCell ref="I4:J4"/>
    <mergeCell ref="A5:B5"/>
    <mergeCell ref="C5:D5"/>
    <mergeCell ref="E5:F5"/>
    <mergeCell ref="G5:H5"/>
    <mergeCell ref="I5:J5"/>
    <mergeCell ref="A6:B6"/>
    <mergeCell ref="C6:D6"/>
    <mergeCell ref="E6:F6"/>
    <mergeCell ref="G6:H6"/>
    <mergeCell ref="I6:J6"/>
    <mergeCell ref="A8:B8"/>
    <mergeCell ref="C8:D8"/>
    <mergeCell ref="E8:F8"/>
    <mergeCell ref="G8:H8"/>
    <mergeCell ref="I8:J8"/>
    <mergeCell ref="A9:B9"/>
    <mergeCell ref="C9:D9"/>
    <mergeCell ref="E9:F9"/>
    <mergeCell ref="G9:H9"/>
    <mergeCell ref="I9:J9"/>
    <mergeCell ref="A10:B10"/>
    <mergeCell ref="C10:D10"/>
    <mergeCell ref="E10:F10"/>
    <mergeCell ref="G10:H10"/>
    <mergeCell ref="I10:J10"/>
    <mergeCell ref="A13:J1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3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8"/>
    <col collapsed="false" customWidth="true" hidden="false" outlineLevel="0" max="3" min="3" style="0" width="14"/>
    <col collapsed="false" customWidth="true" hidden="false" outlineLevel="0" max="4" min="4" style="0" width="10"/>
    <col collapsed="false" customWidth="true" hidden="false" outlineLevel="0" max="5" min="5" style="0" width="14"/>
    <col collapsed="false" customWidth="true" hidden="false" outlineLevel="0" max="7" min="6" style="0" width="10"/>
    <col collapsed="false" customWidth="true" hidden="false" outlineLevel="0" max="8" min="8" style="0" width="12"/>
    <col collapsed="false" customWidth="true" hidden="false" outlineLevel="0" max="9" min="9" style="0" width="10"/>
    <col collapsed="false" customWidth="true" hidden="false" outlineLevel="0" max="12" min="10" style="0" width="12"/>
    <col collapsed="false" customWidth="true" hidden="false" outlineLevel="0" max="13" min="13" style="0" width="30"/>
  </cols>
  <sheetData>
    <row r="1" customFormat="false" ht="25.5" hidden="false" customHeight="true" outlineLevel="0" collapsed="false">
      <c r="A1" s="12" t="s">
        <v>60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</row>
    <row r="2" customFormat="false" ht="15" hidden="false" customHeight="true" outlineLevel="0" collapsed="false">
      <c r="A2" s="2" t="s">
        <v>61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customFormat="false" ht="36" hidden="false" customHeight="true" outlineLevel="0" collapsed="false">
      <c r="A3" s="3" t="s">
        <v>5</v>
      </c>
      <c r="B3" s="3" t="s">
        <v>62</v>
      </c>
      <c r="C3" s="3" t="s">
        <v>63</v>
      </c>
      <c r="D3" s="3" t="s">
        <v>4</v>
      </c>
      <c r="E3" s="3" t="s">
        <v>64</v>
      </c>
      <c r="F3" s="3" t="s">
        <v>65</v>
      </c>
      <c r="G3" s="3" t="s">
        <v>66</v>
      </c>
      <c r="H3" s="3" t="s">
        <v>67</v>
      </c>
      <c r="I3" s="3" t="s">
        <v>68</v>
      </c>
      <c r="J3" s="3" t="s">
        <v>69</v>
      </c>
      <c r="K3" s="3" t="s">
        <v>70</v>
      </c>
      <c r="L3" s="3" t="s">
        <v>71</v>
      </c>
      <c r="M3" s="3" t="s">
        <v>72</v>
      </c>
    </row>
    <row r="4" customFormat="false" ht="15" hidden="false" customHeight="false" outlineLevel="0" collapsed="false">
      <c r="A4" s="31" t="n">
        <v>1</v>
      </c>
      <c r="B4" s="32" t="s">
        <v>73</v>
      </c>
      <c r="C4" s="33"/>
      <c r="D4" s="31"/>
      <c r="E4" s="31"/>
      <c r="F4" s="31"/>
      <c r="G4" s="34" t="n">
        <f aca="false">IFERROR(F4/MAX(F4,1),0)</f>
        <v>0</v>
      </c>
      <c r="H4" s="35"/>
      <c r="I4" s="31"/>
      <c r="J4" s="31"/>
      <c r="K4" s="31"/>
      <c r="L4" s="31"/>
      <c r="M4" s="32"/>
    </row>
    <row r="5" customFormat="false" ht="15" hidden="false" customHeight="false" outlineLevel="0" collapsed="false">
      <c r="A5" s="36" t="n">
        <v>2</v>
      </c>
      <c r="B5" s="37" t="s">
        <v>74</v>
      </c>
      <c r="C5" s="38"/>
      <c r="D5" s="36"/>
      <c r="E5" s="36"/>
      <c r="F5" s="36"/>
      <c r="G5" s="39" t="n">
        <f aca="false">IFERROR(F5/MAX(F5,1),0)</f>
        <v>0</v>
      </c>
      <c r="H5" s="40"/>
      <c r="I5" s="36"/>
      <c r="J5" s="36"/>
      <c r="K5" s="36"/>
      <c r="L5" s="36"/>
      <c r="M5" s="37"/>
    </row>
    <row r="6" customFormat="false" ht="15" hidden="false" customHeight="false" outlineLevel="0" collapsed="false">
      <c r="A6" s="31" t="n">
        <v>3</v>
      </c>
      <c r="B6" s="32" t="s">
        <v>75</v>
      </c>
      <c r="C6" s="33"/>
      <c r="D6" s="31"/>
      <c r="E6" s="31"/>
      <c r="F6" s="31"/>
      <c r="G6" s="34" t="n">
        <f aca="false">IFERROR(F6/MAX(F6,1),0)</f>
        <v>0</v>
      </c>
      <c r="H6" s="35"/>
      <c r="I6" s="31"/>
      <c r="J6" s="31"/>
      <c r="K6" s="31"/>
      <c r="L6" s="31"/>
      <c r="M6" s="32"/>
    </row>
    <row r="7" customFormat="false" ht="15" hidden="false" customHeight="false" outlineLevel="0" collapsed="false">
      <c r="A7" s="36" t="n">
        <v>4</v>
      </c>
      <c r="B7" s="37" t="s">
        <v>76</v>
      </c>
      <c r="C7" s="38"/>
      <c r="D7" s="36"/>
      <c r="E7" s="36"/>
      <c r="F7" s="36"/>
      <c r="G7" s="39" t="n">
        <f aca="false">IFERROR(F7/MAX(F7,1),0)</f>
        <v>0</v>
      </c>
      <c r="H7" s="40"/>
      <c r="I7" s="36"/>
      <c r="J7" s="36"/>
      <c r="K7" s="36"/>
      <c r="L7" s="36"/>
      <c r="M7" s="37"/>
    </row>
    <row r="8" customFormat="false" ht="15" hidden="false" customHeight="false" outlineLevel="0" collapsed="false">
      <c r="A8" s="31" t="n">
        <v>5</v>
      </c>
      <c r="B8" s="32" t="s">
        <v>77</v>
      </c>
      <c r="C8" s="33"/>
      <c r="D8" s="31"/>
      <c r="E8" s="31"/>
      <c r="F8" s="31"/>
      <c r="G8" s="34" t="n">
        <f aca="false">IFERROR(F8/MAX(F8,1),0)</f>
        <v>0</v>
      </c>
      <c r="H8" s="35"/>
      <c r="I8" s="31"/>
      <c r="J8" s="31"/>
      <c r="K8" s="31"/>
      <c r="L8" s="31"/>
      <c r="M8" s="32"/>
    </row>
    <row r="9" customFormat="false" ht="15" hidden="false" customHeight="false" outlineLevel="0" collapsed="false">
      <c r="A9" s="36" t="n">
        <v>6</v>
      </c>
      <c r="B9" s="37" t="s">
        <v>78</v>
      </c>
      <c r="C9" s="38"/>
      <c r="D9" s="36"/>
      <c r="E9" s="36"/>
      <c r="F9" s="36"/>
      <c r="G9" s="39" t="n">
        <f aca="false">IFERROR(F9/MAX(F9,1),0)</f>
        <v>0</v>
      </c>
      <c r="H9" s="40"/>
      <c r="I9" s="36"/>
      <c r="J9" s="36"/>
      <c r="K9" s="36"/>
      <c r="L9" s="36"/>
      <c r="M9" s="37"/>
    </row>
    <row r="10" customFormat="false" ht="15" hidden="false" customHeight="false" outlineLevel="0" collapsed="false">
      <c r="A10" s="31" t="n">
        <v>7</v>
      </c>
      <c r="B10" s="32" t="s">
        <v>79</v>
      </c>
      <c r="C10" s="33"/>
      <c r="D10" s="31"/>
      <c r="E10" s="31"/>
      <c r="F10" s="31"/>
      <c r="G10" s="34" t="n">
        <f aca="false">IFERROR(F10/MAX(F10,1),0)</f>
        <v>0</v>
      </c>
      <c r="H10" s="35"/>
      <c r="I10" s="31"/>
      <c r="J10" s="31"/>
      <c r="K10" s="31"/>
      <c r="L10" s="31"/>
      <c r="M10" s="32"/>
    </row>
    <row r="11" customFormat="false" ht="15" hidden="false" customHeight="false" outlineLevel="0" collapsed="false">
      <c r="A11" s="36" t="n">
        <v>8</v>
      </c>
      <c r="B11" s="37" t="s">
        <v>80</v>
      </c>
      <c r="C11" s="38"/>
      <c r="D11" s="36"/>
      <c r="E11" s="36"/>
      <c r="F11" s="36"/>
      <c r="G11" s="39" t="n">
        <f aca="false">IFERROR(F11/MAX(F11,1),0)</f>
        <v>0</v>
      </c>
      <c r="H11" s="40"/>
      <c r="I11" s="36"/>
      <c r="J11" s="36"/>
      <c r="K11" s="36"/>
      <c r="L11" s="36"/>
      <c r="M11" s="37"/>
    </row>
    <row r="12" customFormat="false" ht="15" hidden="false" customHeight="false" outlineLevel="0" collapsed="false">
      <c r="A12" s="31" t="n">
        <v>9</v>
      </c>
      <c r="B12" s="32" t="s">
        <v>81</v>
      </c>
      <c r="C12" s="33"/>
      <c r="D12" s="31"/>
      <c r="E12" s="31"/>
      <c r="F12" s="31"/>
      <c r="G12" s="34" t="n">
        <f aca="false">IFERROR(F12/MAX(F12,1),0)</f>
        <v>0</v>
      </c>
      <c r="H12" s="35"/>
      <c r="I12" s="31"/>
      <c r="J12" s="31"/>
      <c r="K12" s="31"/>
      <c r="L12" s="31"/>
      <c r="M12" s="32"/>
    </row>
    <row r="13" customFormat="false" ht="15" hidden="false" customHeight="false" outlineLevel="0" collapsed="false">
      <c r="A13" s="36" t="n">
        <v>10</v>
      </c>
      <c r="B13" s="37" t="s">
        <v>82</v>
      </c>
      <c r="C13" s="38"/>
      <c r="D13" s="36"/>
      <c r="E13" s="36"/>
      <c r="F13" s="36"/>
      <c r="G13" s="39" t="n">
        <f aca="false">IFERROR(F13/MAX(F13,1),0)</f>
        <v>0</v>
      </c>
      <c r="H13" s="40"/>
      <c r="I13" s="36"/>
      <c r="J13" s="36"/>
      <c r="K13" s="36"/>
      <c r="L13" s="36"/>
      <c r="M13" s="37"/>
    </row>
    <row r="14" customFormat="false" ht="15" hidden="false" customHeight="false" outlineLevel="0" collapsed="false">
      <c r="A14" s="31" t="n">
        <v>11</v>
      </c>
      <c r="B14" s="32" t="s">
        <v>83</v>
      </c>
      <c r="C14" s="33"/>
      <c r="D14" s="31"/>
      <c r="E14" s="31"/>
      <c r="F14" s="31"/>
      <c r="G14" s="34" t="n">
        <f aca="false">IFERROR(F14/MAX(F14,1),0)</f>
        <v>0</v>
      </c>
      <c r="H14" s="35"/>
      <c r="I14" s="31"/>
      <c r="J14" s="31"/>
      <c r="K14" s="31"/>
      <c r="L14" s="31"/>
      <c r="M14" s="32"/>
    </row>
    <row r="15" customFormat="false" ht="22.35" hidden="false" customHeight="false" outlineLevel="0" collapsed="false">
      <c r="A15" s="41" t="n">
        <v>12</v>
      </c>
      <c r="B15" s="42" t="s">
        <v>84</v>
      </c>
      <c r="C15" s="43"/>
      <c r="D15" s="41"/>
      <c r="E15" s="41"/>
      <c r="F15" s="41"/>
      <c r="G15" s="44" t="n">
        <f aca="false">IFERROR(F15/MAX(F15,1),0)</f>
        <v>0</v>
      </c>
      <c r="H15" s="45" t="n">
        <f aca="false">Dashboard!B9</f>
        <v>0</v>
      </c>
      <c r="I15" s="46" t="n">
        <f aca="false">Dashboard!C9</f>
        <v>0</v>
      </c>
      <c r="J15" s="41"/>
      <c r="K15" s="41"/>
      <c r="L15" s="41"/>
      <c r="M15" s="47"/>
    </row>
    <row r="16" customFormat="false" ht="15" hidden="false" customHeight="false" outlineLevel="0" collapsed="false">
      <c r="A16" s="48" t="n">
        <v>13</v>
      </c>
      <c r="B16" s="32" t="s">
        <v>85</v>
      </c>
      <c r="C16" s="33"/>
      <c r="D16" s="31"/>
      <c r="E16" s="31"/>
      <c r="F16" s="31"/>
      <c r="G16" s="34" t="n">
        <f aca="false">IFERROR(F16/MAX(F16,1),0)</f>
        <v>0</v>
      </c>
      <c r="H16" s="35"/>
      <c r="I16" s="31"/>
      <c r="J16" s="31"/>
      <c r="K16" s="31"/>
      <c r="L16" s="31"/>
      <c r="M16" s="32"/>
    </row>
    <row r="17" customFormat="false" ht="15" hidden="false" customHeight="false" outlineLevel="0" collapsed="false">
      <c r="A17" s="36" t="n">
        <v>14</v>
      </c>
      <c r="B17" s="37" t="s">
        <v>86</v>
      </c>
      <c r="C17" s="38"/>
      <c r="D17" s="36"/>
      <c r="E17" s="36"/>
      <c r="F17" s="36"/>
      <c r="G17" s="39" t="n">
        <f aca="false">IFERROR(F17/MAX(F17,1),0)</f>
        <v>0</v>
      </c>
      <c r="H17" s="40"/>
      <c r="I17" s="36"/>
      <c r="J17" s="36"/>
      <c r="K17" s="36"/>
      <c r="L17" s="36"/>
      <c r="M17" s="37"/>
    </row>
    <row r="18" customFormat="false" ht="15" hidden="false" customHeight="false" outlineLevel="0" collapsed="false">
      <c r="A18" s="31" t="n">
        <v>15</v>
      </c>
      <c r="B18" s="32" t="s">
        <v>87</v>
      </c>
      <c r="C18" s="33"/>
      <c r="D18" s="31"/>
      <c r="E18" s="31"/>
      <c r="F18" s="31"/>
      <c r="G18" s="34" t="n">
        <f aca="false">IFERROR(F18/MAX(F18,1),0)</f>
        <v>0</v>
      </c>
      <c r="H18" s="35"/>
      <c r="I18" s="31"/>
      <c r="J18" s="31"/>
      <c r="K18" s="31"/>
      <c r="L18" s="31"/>
      <c r="M18" s="32"/>
    </row>
    <row r="19" customFormat="false" ht="15" hidden="false" customHeight="false" outlineLevel="0" collapsed="false">
      <c r="A19" s="36" t="n">
        <v>16</v>
      </c>
      <c r="B19" s="37" t="s">
        <v>88</v>
      </c>
      <c r="C19" s="38"/>
      <c r="D19" s="36"/>
      <c r="E19" s="36"/>
      <c r="F19" s="36"/>
      <c r="G19" s="39" t="n">
        <f aca="false">IFERROR(F19/MAX(F19,1),0)</f>
        <v>0</v>
      </c>
      <c r="H19" s="40"/>
      <c r="I19" s="36"/>
      <c r="J19" s="36"/>
      <c r="K19" s="36"/>
      <c r="L19" s="36"/>
      <c r="M19" s="37"/>
    </row>
    <row r="20" customFormat="false" ht="15" hidden="false" customHeight="false" outlineLevel="0" collapsed="false">
      <c r="A20" s="31" t="n">
        <v>17</v>
      </c>
      <c r="B20" s="32" t="s">
        <v>89</v>
      </c>
      <c r="C20" s="33"/>
      <c r="D20" s="31"/>
      <c r="E20" s="31"/>
      <c r="F20" s="31"/>
      <c r="G20" s="34" t="n">
        <f aca="false">IFERROR(F20/MAX(F20,1),0)</f>
        <v>0</v>
      </c>
      <c r="H20" s="35"/>
      <c r="I20" s="31"/>
      <c r="J20" s="31"/>
      <c r="K20" s="31"/>
      <c r="L20" s="31"/>
      <c r="M20" s="32"/>
    </row>
    <row r="21" customFormat="false" ht="28.35" hidden="false" customHeight="false" outlineLevel="0" collapsed="false">
      <c r="A21" s="36" t="n">
        <v>18</v>
      </c>
      <c r="B21" s="37" t="s">
        <v>90</v>
      </c>
      <c r="C21" s="38"/>
      <c r="D21" s="36"/>
      <c r="E21" s="36"/>
      <c r="F21" s="36"/>
      <c r="G21" s="39" t="n">
        <f aca="false">IFERROR(F21/MAX(F21,1),0)</f>
        <v>0</v>
      </c>
      <c r="H21" s="40"/>
      <c r="I21" s="36"/>
      <c r="J21" s="36"/>
      <c r="K21" s="36"/>
      <c r="L21" s="36"/>
      <c r="M21" s="37"/>
    </row>
    <row r="22" customFormat="false" ht="15" hidden="false" customHeight="false" outlineLevel="0" collapsed="false">
      <c r="A22" s="31" t="n">
        <v>19</v>
      </c>
      <c r="B22" s="32" t="s">
        <v>91</v>
      </c>
      <c r="C22" s="33"/>
      <c r="D22" s="31"/>
      <c r="E22" s="31"/>
      <c r="F22" s="31"/>
      <c r="G22" s="34" t="n">
        <f aca="false">IFERROR(F22/MAX(F22,1),0)</f>
        <v>0</v>
      </c>
      <c r="H22" s="35"/>
      <c r="I22" s="31"/>
      <c r="J22" s="31"/>
      <c r="K22" s="31"/>
      <c r="L22" s="31"/>
      <c r="M22" s="32"/>
    </row>
    <row r="23" customFormat="false" ht="15" hidden="false" customHeight="false" outlineLevel="0" collapsed="false">
      <c r="A23" s="36" t="n">
        <v>20</v>
      </c>
      <c r="B23" s="37" t="s">
        <v>92</v>
      </c>
      <c r="C23" s="38"/>
      <c r="D23" s="36"/>
      <c r="E23" s="36"/>
      <c r="F23" s="36"/>
      <c r="G23" s="39" t="n">
        <f aca="false">IFERROR(F23/MAX(F23,1),0)</f>
        <v>0</v>
      </c>
      <c r="H23" s="40"/>
      <c r="I23" s="36"/>
      <c r="J23" s="36"/>
      <c r="K23" s="36"/>
      <c r="L23" s="36"/>
      <c r="M23" s="37"/>
    </row>
    <row r="24" customFormat="false" ht="15" hidden="false" customHeight="false" outlineLevel="0" collapsed="false">
      <c r="A24" s="31" t="n">
        <v>21</v>
      </c>
      <c r="B24" s="32" t="s">
        <v>93</v>
      </c>
      <c r="C24" s="33"/>
      <c r="D24" s="31"/>
      <c r="E24" s="31"/>
      <c r="F24" s="31"/>
      <c r="G24" s="34" t="n">
        <f aca="false">IFERROR(F24/MAX(F24,1),0)</f>
        <v>0</v>
      </c>
      <c r="H24" s="35"/>
      <c r="I24" s="31"/>
      <c r="J24" s="31"/>
      <c r="K24" s="31"/>
      <c r="L24" s="31"/>
      <c r="M24" s="32"/>
    </row>
    <row r="25" customFormat="false" ht="15" hidden="false" customHeight="false" outlineLevel="0" collapsed="false">
      <c r="A25" s="36" t="n">
        <v>22</v>
      </c>
      <c r="B25" s="37" t="s">
        <v>94</v>
      </c>
      <c r="C25" s="38"/>
      <c r="D25" s="36"/>
      <c r="E25" s="36"/>
      <c r="F25" s="36"/>
      <c r="G25" s="39" t="n">
        <f aca="false">IFERROR(F25/MAX(F25,1),0)</f>
        <v>0</v>
      </c>
      <c r="H25" s="40"/>
      <c r="I25" s="36"/>
      <c r="J25" s="36"/>
      <c r="K25" s="36"/>
      <c r="L25" s="36"/>
      <c r="M25" s="37"/>
    </row>
    <row r="26" customFormat="false" ht="15" hidden="false" customHeight="false" outlineLevel="0" collapsed="false">
      <c r="A26" s="31" t="n">
        <v>23</v>
      </c>
      <c r="B26" s="32" t="s">
        <v>95</v>
      </c>
      <c r="C26" s="33"/>
      <c r="D26" s="31"/>
      <c r="E26" s="31"/>
      <c r="F26" s="31"/>
      <c r="G26" s="34" t="n">
        <f aca="false">IFERROR(F26/MAX(F26,1),0)</f>
        <v>0</v>
      </c>
      <c r="H26" s="35"/>
      <c r="I26" s="31"/>
      <c r="J26" s="31"/>
      <c r="K26" s="31"/>
      <c r="L26" s="31"/>
      <c r="M26" s="32"/>
    </row>
    <row r="27" customFormat="false" ht="15" hidden="false" customHeight="false" outlineLevel="0" collapsed="false">
      <c r="A27" s="36" t="n">
        <v>24</v>
      </c>
      <c r="B27" s="37" t="s">
        <v>96</v>
      </c>
      <c r="C27" s="38"/>
      <c r="D27" s="36"/>
      <c r="E27" s="36"/>
      <c r="F27" s="36"/>
      <c r="G27" s="39" t="n">
        <f aca="false">IFERROR(F27/MAX(F27,1),0)</f>
        <v>0</v>
      </c>
      <c r="H27" s="40"/>
      <c r="I27" s="36"/>
      <c r="J27" s="36"/>
      <c r="K27" s="36"/>
      <c r="L27" s="36"/>
      <c r="M27" s="37"/>
    </row>
    <row r="28" customFormat="false" ht="15" hidden="false" customHeight="false" outlineLevel="0" collapsed="false">
      <c r="A28" s="31" t="n">
        <v>25</v>
      </c>
      <c r="B28" s="32" t="s">
        <v>97</v>
      </c>
      <c r="C28" s="33"/>
      <c r="D28" s="31"/>
      <c r="E28" s="31"/>
      <c r="F28" s="31"/>
      <c r="G28" s="34" t="n">
        <f aca="false">IFERROR(F28/MAX(F28,1),0)</f>
        <v>0</v>
      </c>
      <c r="H28" s="35"/>
      <c r="I28" s="31"/>
      <c r="J28" s="31"/>
      <c r="K28" s="31"/>
      <c r="L28" s="31"/>
      <c r="M28" s="32"/>
    </row>
    <row r="29" customFormat="false" ht="15" hidden="false" customHeight="false" outlineLevel="0" collapsed="false">
      <c r="A29" s="36" t="n">
        <v>26</v>
      </c>
      <c r="B29" s="37" t="s">
        <v>98</v>
      </c>
      <c r="C29" s="38"/>
      <c r="D29" s="36"/>
      <c r="E29" s="36"/>
      <c r="F29" s="36"/>
      <c r="G29" s="39" t="n">
        <f aca="false">IFERROR(F29/MAX(F29,1),0)</f>
        <v>0</v>
      </c>
      <c r="H29" s="40"/>
      <c r="I29" s="36"/>
      <c r="J29" s="36"/>
      <c r="K29" s="36"/>
      <c r="L29" s="36"/>
      <c r="M29" s="37"/>
    </row>
    <row r="30" customFormat="false" ht="15" hidden="false" customHeight="false" outlineLevel="0" collapsed="false">
      <c r="A30" s="31" t="n">
        <v>27</v>
      </c>
      <c r="B30" s="32" t="s">
        <v>99</v>
      </c>
      <c r="C30" s="33"/>
      <c r="D30" s="31"/>
      <c r="E30" s="31"/>
      <c r="F30" s="31"/>
      <c r="G30" s="34" t="n">
        <f aca="false">IFERROR(F30/MAX(F30,1),0)</f>
        <v>0</v>
      </c>
      <c r="H30" s="35"/>
      <c r="I30" s="31"/>
      <c r="J30" s="31"/>
      <c r="K30" s="31"/>
      <c r="L30" s="31"/>
      <c r="M30" s="32"/>
    </row>
    <row r="31" customFormat="false" ht="15" hidden="false" customHeight="false" outlineLevel="0" collapsed="false">
      <c r="A31" s="36" t="n">
        <v>28</v>
      </c>
      <c r="B31" s="37" t="s">
        <v>100</v>
      </c>
      <c r="C31" s="38"/>
      <c r="D31" s="36"/>
      <c r="E31" s="36"/>
      <c r="F31" s="36"/>
      <c r="G31" s="39" t="n">
        <f aca="false">IFERROR(F31/MAX(F31,1),0)</f>
        <v>0</v>
      </c>
      <c r="H31" s="40"/>
      <c r="I31" s="36"/>
      <c r="J31" s="36"/>
      <c r="K31" s="36"/>
      <c r="L31" s="36"/>
      <c r="M31" s="37"/>
    </row>
    <row r="32" customFormat="false" ht="15" hidden="false" customHeight="false" outlineLevel="0" collapsed="false">
      <c r="A32" s="31" t="n">
        <v>29</v>
      </c>
      <c r="B32" s="32" t="s">
        <v>101</v>
      </c>
      <c r="C32" s="33"/>
      <c r="D32" s="31"/>
      <c r="E32" s="31"/>
      <c r="F32" s="31"/>
      <c r="G32" s="34" t="n">
        <f aca="false">IFERROR(F32/MAX(F32,1),0)</f>
        <v>0</v>
      </c>
      <c r="H32" s="35"/>
      <c r="I32" s="31"/>
      <c r="J32" s="31"/>
      <c r="K32" s="31"/>
      <c r="L32" s="31"/>
      <c r="M32" s="32"/>
    </row>
    <row r="33" customFormat="false" ht="15" hidden="false" customHeight="false" outlineLevel="0" collapsed="false">
      <c r="A33" s="36" t="n">
        <v>30</v>
      </c>
      <c r="B33" s="37" t="s">
        <v>102</v>
      </c>
      <c r="C33" s="38"/>
      <c r="D33" s="36"/>
      <c r="E33" s="36"/>
      <c r="F33" s="36"/>
      <c r="G33" s="39" t="n">
        <f aca="false">IFERROR(F33/MAX(F33,1),0)</f>
        <v>0</v>
      </c>
      <c r="H33" s="40"/>
      <c r="I33" s="36"/>
      <c r="J33" s="36"/>
      <c r="K33" s="36"/>
      <c r="L33" s="36"/>
      <c r="M33" s="37"/>
    </row>
    <row r="35" customFormat="false" ht="19.5" hidden="false" customHeight="true" outlineLevel="0" collapsed="false">
      <c r="A35" s="49" t="s">
        <v>103</v>
      </c>
      <c r="B35" s="49"/>
      <c r="C35" s="49"/>
      <c r="D35" s="49"/>
      <c r="E35" s="49"/>
      <c r="F35" s="49"/>
      <c r="G35" s="49"/>
      <c r="H35" s="49"/>
      <c r="I35" s="49"/>
      <c r="J35" s="49"/>
      <c r="K35" s="49"/>
      <c r="L35" s="49"/>
      <c r="M35" s="49"/>
    </row>
  </sheetData>
  <mergeCells count="3">
    <mergeCell ref="A1:M1"/>
    <mergeCell ref="A2:M2"/>
    <mergeCell ref="A35:M3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4"/>
    <col collapsed="false" customWidth="true" hidden="false" outlineLevel="0" max="3" min="3" style="0" width="22"/>
    <col collapsed="false" customWidth="true" hidden="false" outlineLevel="0" max="4" min="4" style="0" width="10"/>
    <col collapsed="false" customWidth="true" hidden="false" outlineLevel="0" max="5" min="5" style="0" width="38"/>
  </cols>
  <sheetData>
    <row r="1" customFormat="false" ht="24" hidden="false" customHeight="true" outlineLevel="0" collapsed="false">
      <c r="A1" s="50" t="s">
        <v>104</v>
      </c>
      <c r="B1" s="50"/>
      <c r="C1" s="50"/>
      <c r="D1" s="50"/>
      <c r="E1" s="50"/>
    </row>
    <row r="2" customFormat="false" ht="15" hidden="false" customHeight="true" outlineLevel="0" collapsed="false">
      <c r="A2" s="2" t="s">
        <v>105</v>
      </c>
      <c r="B2" s="2"/>
      <c r="C2" s="2"/>
      <c r="D2" s="2"/>
      <c r="E2" s="2"/>
    </row>
    <row r="3" customFormat="false" ht="15" hidden="false" customHeight="false" outlineLevel="0" collapsed="false">
      <c r="A3" s="3" t="s">
        <v>106</v>
      </c>
      <c r="B3" s="3" t="s">
        <v>107</v>
      </c>
      <c r="C3" s="3" t="s">
        <v>108</v>
      </c>
      <c r="D3" s="3" t="s">
        <v>109</v>
      </c>
      <c r="E3" s="3" t="s">
        <v>72</v>
      </c>
    </row>
    <row r="4" customFormat="false" ht="15" hidden="false" customHeight="false" outlineLevel="0" collapsed="false">
      <c r="A4" s="7" t="s">
        <v>110</v>
      </c>
      <c r="B4" s="6" t="s">
        <v>111</v>
      </c>
      <c r="C4" s="6" t="s">
        <v>112</v>
      </c>
      <c r="D4" s="51" t="s">
        <v>113</v>
      </c>
      <c r="E4" s="7" t="s">
        <v>114</v>
      </c>
    </row>
    <row r="5" customFormat="false" ht="15" hidden="false" customHeight="false" outlineLevel="0" collapsed="false">
      <c r="A5" s="11" t="s">
        <v>115</v>
      </c>
      <c r="B5" s="10" t="s">
        <v>3</v>
      </c>
      <c r="C5" s="10" t="s">
        <v>116</v>
      </c>
      <c r="D5" s="52" t="s">
        <v>113</v>
      </c>
      <c r="E5" s="11" t="s">
        <v>117</v>
      </c>
    </row>
    <row r="6" customFormat="false" ht="15" hidden="false" customHeight="false" outlineLevel="0" collapsed="false">
      <c r="A6" s="7" t="s">
        <v>118</v>
      </c>
      <c r="B6" s="6" t="s">
        <v>119</v>
      </c>
      <c r="C6" s="6" t="s">
        <v>120</v>
      </c>
      <c r="D6" s="51" t="s">
        <v>113</v>
      </c>
      <c r="E6" s="7" t="s">
        <v>121</v>
      </c>
    </row>
    <row r="7" customFormat="false" ht="15" hidden="false" customHeight="false" outlineLevel="0" collapsed="false">
      <c r="A7" s="11" t="s">
        <v>122</v>
      </c>
      <c r="B7" s="10" t="s">
        <v>119</v>
      </c>
      <c r="C7" s="10" t="s">
        <v>49</v>
      </c>
      <c r="D7" s="52" t="s">
        <v>113</v>
      </c>
      <c r="E7" s="11" t="s">
        <v>123</v>
      </c>
    </row>
    <row r="8" customFormat="false" ht="15" hidden="false" customHeight="false" outlineLevel="0" collapsed="false">
      <c r="A8" s="7" t="s">
        <v>124</v>
      </c>
      <c r="B8" s="6" t="s">
        <v>111</v>
      </c>
      <c r="C8" s="6" t="s">
        <v>125</v>
      </c>
      <c r="D8" s="51" t="s">
        <v>113</v>
      </c>
      <c r="E8" s="7" t="s">
        <v>126</v>
      </c>
    </row>
    <row r="9" customFormat="false" ht="15" hidden="false" customHeight="false" outlineLevel="0" collapsed="false">
      <c r="A9" s="11" t="s">
        <v>127</v>
      </c>
      <c r="B9" s="10" t="s">
        <v>119</v>
      </c>
      <c r="C9" s="10" t="s">
        <v>54</v>
      </c>
      <c r="D9" s="52" t="s">
        <v>113</v>
      </c>
      <c r="E9" s="11" t="s">
        <v>128</v>
      </c>
    </row>
    <row r="10" customFormat="false" ht="15" hidden="false" customHeight="false" outlineLevel="0" collapsed="false">
      <c r="A10" s="7" t="s">
        <v>129</v>
      </c>
      <c r="B10" s="6" t="s">
        <v>111</v>
      </c>
      <c r="C10" s="6" t="s">
        <v>130</v>
      </c>
      <c r="D10" s="51" t="s">
        <v>113</v>
      </c>
      <c r="E10" s="7" t="s">
        <v>131</v>
      </c>
    </row>
    <row r="11" customFormat="false" ht="15" hidden="false" customHeight="false" outlineLevel="0" collapsed="false">
      <c r="A11" s="11" t="s">
        <v>132</v>
      </c>
      <c r="B11" s="10" t="s">
        <v>111</v>
      </c>
      <c r="C11" s="10" t="s">
        <v>133</v>
      </c>
      <c r="D11" s="52" t="s">
        <v>113</v>
      </c>
      <c r="E11" s="11" t="s">
        <v>134</v>
      </c>
    </row>
    <row r="12" customFormat="false" ht="15" hidden="false" customHeight="false" outlineLevel="0" collapsed="false">
      <c r="A12" s="7" t="s">
        <v>135</v>
      </c>
      <c r="B12" s="6" t="s">
        <v>111</v>
      </c>
      <c r="C12" s="6" t="s">
        <v>136</v>
      </c>
      <c r="D12" s="51" t="s">
        <v>113</v>
      </c>
      <c r="E12" s="7" t="s">
        <v>137</v>
      </c>
    </row>
    <row r="13" customFormat="false" ht="15" hidden="false" customHeight="false" outlineLevel="0" collapsed="false">
      <c r="A13" s="11" t="s">
        <v>138</v>
      </c>
      <c r="B13" s="10" t="s">
        <v>139</v>
      </c>
      <c r="C13" s="10" t="s">
        <v>140</v>
      </c>
      <c r="D13" s="52" t="s">
        <v>113</v>
      </c>
      <c r="E13" s="11" t="s">
        <v>141</v>
      </c>
    </row>
    <row r="14" customFormat="false" ht="15" hidden="false" customHeight="false" outlineLevel="0" collapsed="false">
      <c r="A14" s="7" t="s">
        <v>142</v>
      </c>
      <c r="B14" s="6" t="s">
        <v>139</v>
      </c>
      <c r="C14" s="6" t="s">
        <v>140</v>
      </c>
      <c r="D14" s="6" t="s">
        <v>143</v>
      </c>
      <c r="E14" s="7" t="s">
        <v>144</v>
      </c>
    </row>
    <row r="15" customFormat="false" ht="15" hidden="false" customHeight="false" outlineLevel="0" collapsed="false">
      <c r="A15" s="11" t="s">
        <v>145</v>
      </c>
      <c r="B15" s="10" t="s">
        <v>139</v>
      </c>
      <c r="C15" s="10" t="s">
        <v>140</v>
      </c>
      <c r="D15" s="52" t="s">
        <v>113</v>
      </c>
      <c r="E15" s="11" t="s">
        <v>146</v>
      </c>
    </row>
    <row r="16" customFormat="false" ht="15" hidden="false" customHeight="false" outlineLevel="0" collapsed="false">
      <c r="A16" s="7" t="s">
        <v>147</v>
      </c>
      <c r="B16" s="6" t="s">
        <v>139</v>
      </c>
      <c r="C16" s="6" t="s">
        <v>148</v>
      </c>
      <c r="D16" s="51" t="s">
        <v>113</v>
      </c>
      <c r="E16" s="7" t="s">
        <v>149</v>
      </c>
    </row>
    <row r="17" customFormat="false" ht="22.35" hidden="false" customHeight="false" outlineLevel="0" collapsed="false">
      <c r="A17" s="11" t="s">
        <v>150</v>
      </c>
      <c r="B17" s="10" t="s">
        <v>111</v>
      </c>
      <c r="C17" s="10" t="s">
        <v>151</v>
      </c>
      <c r="D17" s="52" t="s">
        <v>113</v>
      </c>
      <c r="E17" s="11" t="s">
        <v>152</v>
      </c>
    </row>
    <row r="18" customFormat="false" ht="15" hidden="false" customHeight="false" outlineLevel="0" collapsed="false">
      <c r="A18" s="7" t="s">
        <v>153</v>
      </c>
      <c r="B18" s="6" t="s">
        <v>111</v>
      </c>
      <c r="C18" s="6" t="s">
        <v>154</v>
      </c>
      <c r="D18" s="51" t="s">
        <v>113</v>
      </c>
      <c r="E18" s="7" t="s">
        <v>155</v>
      </c>
    </row>
    <row r="19" customFormat="false" ht="15" hidden="false" customHeight="false" outlineLevel="0" collapsed="false">
      <c r="A19" s="11" t="s">
        <v>156</v>
      </c>
      <c r="B19" s="10" t="s">
        <v>3</v>
      </c>
      <c r="C19" s="10" t="s">
        <v>157</v>
      </c>
      <c r="D19" s="52" t="s">
        <v>113</v>
      </c>
      <c r="E19" s="11" t="s">
        <v>158</v>
      </c>
    </row>
  </sheetData>
  <mergeCells count="2">
    <mergeCell ref="A1:E1"/>
    <mergeCell ref="A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2026-04-17T20:16:01Z</dcterms:created>
  <dc:creator>openpyxl</dc:creator>
  <dc:description/>
  <dc:language>en-US</dc:language>
  <cp:lastModifiedBy/>
  <dcterms:modified xsi:type="dcterms:W3CDTF">2026-04-17T20:16:01Z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